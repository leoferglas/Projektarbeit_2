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group-my.sharepoint.com/personal/leonard_verclas_freudenberg_com/Documents/02_Studium_DHBW/PA 2/Projektarbeit_2/"/>
    </mc:Choice>
  </mc:AlternateContent>
  <xr:revisionPtr revIDLastSave="1" documentId="11_25CFF993AE428E097BAA498B8818098050F39073" xr6:coauthVersionLast="47" xr6:coauthVersionMax="47" xr10:uidLastSave="{72E25723-410F-42A0-AEA5-A01011C63D58}"/>
  <bookViews>
    <workbookView xWindow="-120" yWindow="-120" windowWidth="29040" windowHeight="15720" tabRatio="500" xr2:uid="{00000000-000D-0000-FFFF-FFFF00000000}"/>
  </bookViews>
  <sheets>
    <sheet name="Rechnungsuebersicht" sheetId="1" r:id="rId1"/>
  </sheets>
  <definedNames>
    <definedName name="_xlnm._FilterDatabase" localSheetId="0" hidden="1">Rechnungsuebersicht!$A$1:$O$51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2" i="1" l="1"/>
  <c r="L51" i="1"/>
  <c r="M51" i="1" s="1"/>
  <c r="L50" i="1"/>
  <c r="M50" i="1" s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L4" i="1"/>
  <c r="M4" i="1" s="1"/>
  <c r="L3" i="1"/>
  <c r="M3" i="1" s="1"/>
  <c r="L2" i="1"/>
  <c r="L52" i="1" s="1"/>
  <c r="M2" i="1" l="1"/>
  <c r="M5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N7" authorId="0" shapeId="0" xr:uid="{00000000-0006-0000-0000-000001000000}">
      <text>
        <r>
          <rPr>
            <sz val="10"/>
            <rFont val="Arial"/>
            <family val="2"/>
          </rPr>
          <t>Fälligkeit betrifft nur den Restbetrag - 50 % waren bereits als Anzahlung fällig.</t>
        </r>
      </text>
    </comment>
  </commentList>
</comments>
</file>

<file path=xl/sharedStrings.xml><?xml version="1.0" encoding="utf-8"?>
<sst xmlns="http://schemas.openxmlformats.org/spreadsheetml/2006/main" count="518" uniqueCount="432">
  <si>
    <t>Kundenname (Leistungsempfaenger)</t>
  </si>
  <si>
    <t>Rechnungsnummer</t>
  </si>
  <si>
    <t>Rechnungsdatum</t>
  </si>
  <si>
    <t>Leistungszeitraum / -datum</t>
  </si>
  <si>
    <t>Kundennummer</t>
  </si>
  <si>
    <t>Referenz-Art</t>
  </si>
  <si>
    <t>Referenznummer</t>
  </si>
  <si>
    <t>Lieferant / Rechnungssteller</t>
  </si>
  <si>
    <t>Leistungsbeschreibung</t>
  </si>
  <si>
    <t>Nettobetrag</t>
  </si>
  <si>
    <t>Steuersatz</t>
  </si>
  <si>
    <t>USt-Betrag</t>
  </si>
  <si>
    <t>Rechnungsbetrag (brutto)</t>
  </si>
  <si>
    <t>Faelligkeit</t>
  </si>
  <si>
    <t>Freudenberg &amp; Co. Kommanditgesellschaft</t>
  </si>
  <si>
    <t>RE-2026-047382</t>
  </si>
  <si>
    <t>14.08.2026</t>
  </si>
  <si>
    <t>01.08.2026 - 31.08.2026</t>
  </si>
  <si>
    <t>KD-100248</t>
  </si>
  <si>
    <t>Bestellnummer</t>
  </si>
  <si>
    <t>PO-FBG-2026-3391</t>
  </si>
  <si>
    <t>Nordlicht IT Solutions GmbH</t>
  </si>
  <si>
    <t>Microsoft Copilot Premium Abonnement (Softwarelizenzen)</t>
  </si>
  <si>
    <t>28.08.2026</t>
  </si>
  <si>
    <t>2026-B-14872</t>
  </si>
  <si>
    <t>03.03.2026</t>
  </si>
  <si>
    <t>27.02.2026 (Leistungsdatum)</t>
  </si>
  <si>
    <t>K-40182</t>
  </si>
  <si>
    <t>Lieferschein</t>
  </si>
  <si>
    <t>LS-2026-0912</t>
  </si>
  <si>
    <t>Kontorwerk Bürobedarf GmbH</t>
  </si>
  <si>
    <t>Büromaterial und Druckerzubehör</t>
  </si>
  <si>
    <t>17.03.2026</t>
  </si>
  <si>
    <t>Freudenberg IT SE &amp; Co. KG</t>
  </si>
  <si>
    <t>RE-2026-0221</t>
  </si>
  <si>
    <t>31.05.2026</t>
  </si>
  <si>
    <t>01.05.2026 - 31.05.2026</t>
  </si>
  <si>
    <t>C-2210</t>
  </si>
  <si>
    <t>Projekt</t>
  </si>
  <si>
    <t>S/4HANA Rollout Phase 2</t>
  </si>
  <si>
    <t>Kestner Consulting GmbH</t>
  </si>
  <si>
    <t>IT-Beratung (S/4HANA Rollout Phase 2)</t>
  </si>
  <si>
    <t>30.06.2026</t>
  </si>
  <si>
    <t>Freudenberg Sealing Technologies GmbH &amp; Co. KG</t>
  </si>
  <si>
    <t>WA-26-00745</t>
  </si>
  <si>
    <t>12.04.2026</t>
  </si>
  <si>
    <t>08.04.2026 (Leistungsdatum)</t>
  </si>
  <si>
    <t>Auftragsnummer</t>
  </si>
  <si>
    <t>A-2026-0331</t>
  </si>
  <si>
    <t>Südwest Klimatechnik GmbH</t>
  </si>
  <si>
    <t>Wartung Klima- und Lüftungstechnik</t>
  </si>
  <si>
    <t>03.05.2026</t>
  </si>
  <si>
    <t>Freudenberg Filtration Technologies SE &amp; Co. KG</t>
  </si>
  <si>
    <t>SP-2026-118934</t>
  </si>
  <si>
    <t>28.06.2026</t>
  </si>
  <si>
    <t>15.06.2026 - 26.06.2026</t>
  </si>
  <si>
    <t>70441</t>
  </si>
  <si>
    <t>Sendungen</t>
  </si>
  <si>
    <t>14 Aufträge</t>
  </si>
  <si>
    <t>Rheinlogistik Spedition GmbH</t>
  </si>
  <si>
    <t>Frachtkosten Spedition</t>
  </si>
  <si>
    <t>12.07.2026</t>
  </si>
  <si>
    <t>Freudenberg Home and Cleaning Solutions GmbH</t>
  </si>
  <si>
    <t>2026/MB/0417</t>
  </si>
  <si>
    <t>22.05.2026</t>
  </si>
  <si>
    <t>11.05.2026 - 15.05.2026</t>
  </si>
  <si>
    <t>HM-1188</t>
  </si>
  <si>
    <t>Veranstaltung</t>
  </si>
  <si>
    <t>IFAT München 2026</t>
  </si>
  <si>
    <t>Hellwig Messe &amp; Event GmbH</t>
  </si>
  <si>
    <t>Messestand und Werbemittel (IFAT München 2026)</t>
  </si>
  <si>
    <t>12.06.2026</t>
  </si>
  <si>
    <t>SEM-2026-0093</t>
  </si>
  <si>
    <t>17.02.2026</t>
  </si>
  <si>
    <t>09.02.2026 - 11.02.2026</t>
  </si>
  <si>
    <t>AN-3307</t>
  </si>
  <si>
    <t>Buchungsnummer</t>
  </si>
  <si>
    <t>B-2026-0451</t>
  </si>
  <si>
    <t>Akademie Neckartal GmbH</t>
  </si>
  <si>
    <t>Schulung und Weiterbildung (Inhouse-Seminar)</t>
  </si>
  <si>
    <t>Freudenberg Performance Materials Holding SE</t>
  </si>
  <si>
    <t>L-2026-55218</t>
  </si>
  <si>
    <t>09.07.2026</t>
  </si>
  <si>
    <t>07.07.2026 (Leistungsdatum)</t>
  </si>
  <si>
    <t>50913</t>
  </si>
  <si>
    <t>PO-2026-11884</t>
  </si>
  <si>
    <t>Bergmann Technischer Handel GmbH</t>
  </si>
  <si>
    <t>Industriebedarf und Normteile</t>
  </si>
  <si>
    <t>23.07.2026</t>
  </si>
  <si>
    <t>GR-2026-0431</t>
  </si>
  <si>
    <t>01.04.2026</t>
  </si>
  <si>
    <t>01.03.2026 - 31.03.2026</t>
  </si>
  <si>
    <t>KW-2044</t>
  </si>
  <si>
    <t>Vertrag</t>
  </si>
  <si>
    <t>RV-2024-77</t>
  </si>
  <si>
    <t>Klarwerk Gebäudedienste GmbH</t>
  </si>
  <si>
    <t>Gebäudereinigung</t>
  </si>
  <si>
    <t>01.05.2026</t>
  </si>
  <si>
    <t>RG-2026-3387</t>
  </si>
  <si>
    <t>19.01.2026</t>
  </si>
  <si>
    <t>16.01.2026 (Leistungsdatum)</t>
  </si>
  <si>
    <t>DC-6621</t>
  </si>
  <si>
    <t>Angebot</t>
  </si>
  <si>
    <t>AN-2025-4471</t>
  </si>
  <si>
    <t>Datacore Systemhaus AG</t>
  </si>
  <si>
    <t>Netzwerkhardware und Installation</t>
  </si>
  <si>
    <t>08.02.2026</t>
  </si>
  <si>
    <t>ZA-2026-2205</t>
  </si>
  <si>
    <t>06.08.2026</t>
  </si>
  <si>
    <t>20.07.2026 - 02.08.2026</t>
  </si>
  <si>
    <t>OP-1140</t>
  </si>
  <si>
    <t>Überlassung</t>
  </si>
  <si>
    <t>KW 30 und 31</t>
  </si>
  <si>
    <t>Odenwald Personalservice GmbH</t>
  </si>
  <si>
    <t>Personaldienstleistung (Zeitarbeit)</t>
  </si>
  <si>
    <t>16.08.2026</t>
  </si>
  <si>
    <t>SR-2026-884102</t>
  </si>
  <si>
    <t>05.02.2026</t>
  </si>
  <si>
    <t>01.01.2026 - 31.01.2026 (Abrechnungszeitraum)</t>
  </si>
  <si>
    <t>V-880412</t>
  </si>
  <si>
    <t>Zählernummer</t>
  </si>
  <si>
    <t>1EMH0071842366</t>
  </si>
  <si>
    <t>Rhein-Neckar Energie AG</t>
  </si>
  <si>
    <t>Stromlieferung Werk 2</t>
  </si>
  <si>
    <t>26.02.2026</t>
  </si>
  <si>
    <t>TG-26-004417</t>
  </si>
  <si>
    <t>09.03.2026</t>
  </si>
  <si>
    <t>01.02.2026 - 28.02.2026 (Abrechnungszeitraum)</t>
  </si>
  <si>
    <t>80014</t>
  </si>
  <si>
    <t>Vertragskonto</t>
  </si>
  <si>
    <t>VK-4471209</t>
  </si>
  <si>
    <t>Terragas Versorgung GmbH</t>
  </si>
  <si>
    <t>Erdgaslieferung</t>
  </si>
  <si>
    <t>23.03.2026</t>
  </si>
  <si>
    <t>KT-2026-77219</t>
  </si>
  <si>
    <t>9911472</t>
  </si>
  <si>
    <t>Rahmenvertrag</t>
  </si>
  <si>
    <t>RV-MOB-2024</t>
  </si>
  <si>
    <t>Konnex Telekom GmbH</t>
  </si>
  <si>
    <t>Telekommunikation Mobilfunk</t>
  </si>
  <si>
    <t>15.04.2026</t>
  </si>
  <si>
    <t>CU-2026-0318</t>
  </si>
  <si>
    <t>02.04.2026</t>
  </si>
  <si>
    <t>KUN-3312</t>
  </si>
  <si>
    <t>BK-2023-09</t>
  </si>
  <si>
    <t>Culina Betriebsgastronomie GmbH</t>
  </si>
  <si>
    <t>Kantinenbewirtschaftung</t>
  </si>
  <si>
    <t>02.05.2026</t>
  </si>
  <si>
    <t>WF-26-1180</t>
  </si>
  <si>
    <t>16.03.2026</t>
  </si>
  <si>
    <t>13.03.2026 (Leistungsdatum)</t>
  </si>
  <si>
    <t>22014</t>
  </si>
  <si>
    <t>PO-2026-10442</t>
  </si>
  <si>
    <t>Werkfein Präzisionstechnik GmbH</t>
  </si>
  <si>
    <t>Lohnfertigung Drehteile</t>
  </si>
  <si>
    <t>Freudenberg Medical Europe GmbH</t>
  </si>
  <si>
    <t>ML-2026-0642</t>
  </si>
  <si>
    <t>21.04.2026</t>
  </si>
  <si>
    <t>17.04.2026 (Leistungsdatum)</t>
  </si>
  <si>
    <t>MT-1180</t>
  </si>
  <si>
    <t>A-26-3391</t>
  </si>
  <si>
    <t>Metrolab Kalibrierservice GmbH</t>
  </si>
  <si>
    <t>Kalibrierung Messmittel</t>
  </si>
  <si>
    <t>12.05.2026</t>
  </si>
  <si>
    <t>RE-26-5518</t>
  </si>
  <si>
    <t>04.05.2026</t>
  </si>
  <si>
    <t>01.04.2026 - 30.04.2026</t>
  </si>
  <si>
    <t>E-7702</t>
  </si>
  <si>
    <t>Entsorgungsnachweis</t>
  </si>
  <si>
    <t>EN-2026-0117</t>
  </si>
  <si>
    <t>Reko Entsorgung GmbH</t>
  </si>
  <si>
    <t>Abfallentsorgung</t>
  </si>
  <si>
    <t>18.05.2026</t>
  </si>
  <si>
    <t>TX-2026-0904</t>
  </si>
  <si>
    <t>07.05.2026</t>
  </si>
  <si>
    <t>T-4021</t>
  </si>
  <si>
    <t>MS-2022-14</t>
  </si>
  <si>
    <t>Textilis Berufskleidung GmbH</t>
  </si>
  <si>
    <t>Berufskleidung Mietservice</t>
  </si>
  <si>
    <t>28.05.2026</t>
  </si>
  <si>
    <t>AF-2026-11204</t>
  </si>
  <si>
    <t>01.06.2026</t>
  </si>
  <si>
    <t>01.06.2026 - 30.06.2026</t>
  </si>
  <si>
    <t>FP-2210</t>
  </si>
  <si>
    <t>LV-2025-08</t>
  </si>
  <si>
    <t>Autoflott Leasing GmbH</t>
  </si>
  <si>
    <t>Fuhrpark Leasingraten</t>
  </si>
  <si>
    <t>11.06.2026</t>
  </si>
  <si>
    <t>HO-2026-2288</t>
  </si>
  <si>
    <t>08.06.2026 - 10.06.2026</t>
  </si>
  <si>
    <t>G-1140</t>
  </si>
  <si>
    <t>Reservierung</t>
  </si>
  <si>
    <t>RES-88214</t>
  </si>
  <si>
    <t>Bergstraße Tagungshotel GmbH</t>
  </si>
  <si>
    <t>Tagung und Übernachtungen</t>
  </si>
  <si>
    <t>26.06.2026</t>
  </si>
  <si>
    <t>LX-2026-0331</t>
  </si>
  <si>
    <t>01.04.2026 - 30.06.2026</t>
  </si>
  <si>
    <t>M-2026-114</t>
  </si>
  <si>
    <t>Mandat</t>
  </si>
  <si>
    <t>Lieferantenrahmenverträge</t>
  </si>
  <si>
    <t>Lexara Rechtsanwälte PartG mbB</t>
  </si>
  <si>
    <t>Rechtsberatung Vertragsrecht</t>
  </si>
  <si>
    <t>21.07.2026</t>
  </si>
  <si>
    <t>KWP-2026-0088</t>
  </si>
  <si>
    <t>20.03.2026</t>
  </si>
  <si>
    <t>12.01.2026 - 06.03.2026</t>
  </si>
  <si>
    <t>WP-0042</t>
  </si>
  <si>
    <t>Auftrag</t>
  </si>
  <si>
    <t>JA-2025</t>
  </si>
  <si>
    <t>Konsul Wirtschaftsprüfung GmbH</t>
  </si>
  <si>
    <t>Jahresabschlussprüfung</t>
  </si>
  <si>
    <t>19.04.2026</t>
  </si>
  <si>
    <t>PA-26-0417</t>
  </si>
  <si>
    <t>11.05.2026</t>
  </si>
  <si>
    <t>06.05.2026 (Leistungsdatum)</t>
  </si>
  <si>
    <t>P-2019</t>
  </si>
  <si>
    <t>Aktenzeichen</t>
  </si>
  <si>
    <t>DE 10 2026 004 118</t>
  </si>
  <si>
    <t>Patentis Patentanwälte</t>
  </si>
  <si>
    <t>Patentanmeldung</t>
  </si>
  <si>
    <t>LU-2026-1442</t>
  </si>
  <si>
    <t>24.04.2026</t>
  </si>
  <si>
    <t>22.04.2026 (Leistungsdatum)</t>
  </si>
  <si>
    <t>L-8802</t>
  </si>
  <si>
    <t>Betriebsanleitung Vliesanlage</t>
  </si>
  <si>
    <t>Lingua Fachübersetzungen GmbH</t>
  </si>
  <si>
    <t>Fachübersetzungen</t>
  </si>
  <si>
    <t>08.05.2026</t>
  </si>
  <si>
    <t>OD-2026-3390</t>
  </si>
  <si>
    <t>15.05.2026 (Leistungsdatum)</t>
  </si>
  <si>
    <t>D-5511</t>
  </si>
  <si>
    <t>AU-26-8841</t>
  </si>
  <si>
    <t>Offset Druck Rhein-Main GmbH</t>
  </si>
  <si>
    <t>Katalogdruck</t>
  </si>
  <si>
    <t>PW-2026-0221</t>
  </si>
  <si>
    <t>29.06.2026</t>
  </si>
  <si>
    <t>02.03.2026 - 26.06.2026</t>
  </si>
  <si>
    <t>PX-3040</t>
  </si>
  <si>
    <t>Relaunch Markenauftritt</t>
  </si>
  <si>
    <t>Pixelwerk Digitalagentur GmbH</t>
  </si>
  <si>
    <t>Website-Relaunch</t>
  </si>
  <si>
    <t>20.07.2026</t>
  </si>
  <si>
    <t>CS-2026-0771</t>
  </si>
  <si>
    <t>15.01.2026</t>
  </si>
  <si>
    <t>01.02.2026 - 31.01.2027</t>
  </si>
  <si>
    <t>CS-1024</t>
  </si>
  <si>
    <t>AN-2025-9912</t>
  </si>
  <si>
    <t>CADsoft Vertriebs GmbH</t>
  </si>
  <si>
    <t>CAD-Softwarelizenzen</t>
  </si>
  <si>
    <t>14.02.2026</t>
  </si>
  <si>
    <t>NC-2026-08841</t>
  </si>
  <si>
    <t>01.07.2026</t>
  </si>
  <si>
    <t>NC-7781</t>
  </si>
  <si>
    <t>SLA-2024-06</t>
  </si>
  <si>
    <t>Nordcloud Hosting GmbH</t>
  </si>
  <si>
    <t>Cloud-Hosting</t>
  </si>
  <si>
    <t>15.07.2026</t>
  </si>
  <si>
    <t>SK-2026-0455</t>
  </si>
  <si>
    <t>01.02.2026 - 28.02.2026</t>
  </si>
  <si>
    <t>SK-9012</t>
  </si>
  <si>
    <t>WS-2023-11</t>
  </si>
  <si>
    <t>Sekurit Werkschutz GmbH</t>
  </si>
  <si>
    <t>Werkschutz und Pforte</t>
  </si>
  <si>
    <t>24.03.2026</t>
  </si>
  <si>
    <t>HT-26-2214</t>
  </si>
  <si>
    <t>08.04.2026</t>
  </si>
  <si>
    <t>H-3388</t>
  </si>
  <si>
    <t>Mietvertrag</t>
  </si>
  <si>
    <t>MV-2025-41</t>
  </si>
  <si>
    <t>Hebetec Flurförderzeuge GmbH</t>
  </si>
  <si>
    <t>Staplermiete und Wartung</t>
  </si>
  <si>
    <t>29.04.2026</t>
  </si>
  <si>
    <t>PX-2026-6612</t>
  </si>
  <si>
    <t>26.05.2026</t>
  </si>
  <si>
    <t>22.05.2026 (Leistungsdatum)</t>
  </si>
  <si>
    <t>50771</t>
  </si>
  <si>
    <t>PO-2026-12204</t>
  </si>
  <si>
    <t>Palux Verpackungen GmbH</t>
  </si>
  <si>
    <t>Transportverpackungen</t>
  </si>
  <si>
    <t>09.06.2026</t>
  </si>
  <si>
    <t>CL-2026-4471</t>
  </si>
  <si>
    <t>13.02.2026</t>
  </si>
  <si>
    <t>11.02.2026 (Leistungsdatum)</t>
  </si>
  <si>
    <t>CL-6620</t>
  </si>
  <si>
    <t>PO-2026-09117</t>
  </si>
  <si>
    <t>Chemlab Laborbedarf GmbH</t>
  </si>
  <si>
    <t>Laborbedarf und Chemikalien</t>
  </si>
  <si>
    <t>06.03.2026</t>
  </si>
  <si>
    <t>MP-2026-0993</t>
  </si>
  <si>
    <t>19.06.2026</t>
  </si>
  <si>
    <t>15.06.2026 (Leistungsdatum)</t>
  </si>
  <si>
    <t>MA-4410</t>
  </si>
  <si>
    <t>Prüfbericht</t>
  </si>
  <si>
    <t>PB-2026-0771</t>
  </si>
  <si>
    <t>Materia Prüflabor GmbH</t>
  </si>
  <si>
    <t>Materialprüfung</t>
  </si>
  <si>
    <t>03.07.2026</t>
  </si>
  <si>
    <t>CZ-2026-0208</t>
  </si>
  <si>
    <t>27.03.2026</t>
  </si>
  <si>
    <t>23.03.2026 - 25.03.2026</t>
  </si>
  <si>
    <t>CZ-1177</t>
  </si>
  <si>
    <t>Zertifikat</t>
  </si>
  <si>
    <t>ISO 9001:2015</t>
  </si>
  <si>
    <t>Certum Zertifizierung GmbH</t>
  </si>
  <si>
    <t>ISO-Zertifizierungsaudit</t>
  </si>
  <si>
    <t>26.04.2026</t>
  </si>
  <si>
    <t>VA-2026-0771</t>
  </si>
  <si>
    <t>06.07.2026</t>
  </si>
  <si>
    <t>VA-2288</t>
  </si>
  <si>
    <t>Wartungsvertrag</t>
  </si>
  <si>
    <t>WV-2021-17</t>
  </si>
  <si>
    <t>Vertikal Aufzugservice GmbH</t>
  </si>
  <si>
    <t>Aufzugswartung</t>
  </si>
  <si>
    <t>27.07.2026</t>
  </si>
  <si>
    <t>VE-2026-1188</t>
  </si>
  <si>
    <t>23.05.2026</t>
  </si>
  <si>
    <t>04.05.2026 - 20.05.2026</t>
  </si>
  <si>
    <t>VM-1409</t>
  </si>
  <si>
    <t>A-2026-0774</t>
  </si>
  <si>
    <t>Voltmann Elektrotechnik GmbH</t>
  </si>
  <si>
    <t>Elektroinstallation Halle D</t>
  </si>
  <si>
    <t>13.06.2026</t>
  </si>
  <si>
    <t>FW-26-0339</t>
  </si>
  <si>
    <t>17.07.2026</t>
  </si>
  <si>
    <t>29.06.2026 - 14.07.2026</t>
  </si>
  <si>
    <t>FW-880</t>
  </si>
  <si>
    <t>A-26-1102</t>
  </si>
  <si>
    <t>Farbwerk Malerbetrieb GmbH</t>
  </si>
  <si>
    <t>Malerarbeiten Verwaltungsgebäude</t>
  </si>
  <si>
    <t>07.08.2026</t>
  </si>
  <si>
    <t>GW-2026-0512</t>
  </si>
  <si>
    <t>05.08.2026</t>
  </si>
  <si>
    <t>01.07.2026 - 31.07.2026</t>
  </si>
  <si>
    <t>GW-2255</t>
  </si>
  <si>
    <t>Pflegevertrag</t>
  </si>
  <si>
    <t>PV-2024-03</t>
  </si>
  <si>
    <t>Grünwerk Gartenpflege GmbH</t>
  </si>
  <si>
    <t>Pflege der Außenanlagen</t>
  </si>
  <si>
    <t>19.08.2026</t>
  </si>
  <si>
    <t>WD-2026-0044</t>
  </si>
  <si>
    <t>02.02.2026</t>
  </si>
  <si>
    <t>01.01.2026 - 31.01.2026</t>
  </si>
  <si>
    <t>WF-1180</t>
  </si>
  <si>
    <t>WD-2025-09</t>
  </si>
  <si>
    <t>Winterfest Dienstleistungen GmbH</t>
  </si>
  <si>
    <t>Winterdienst</t>
  </si>
  <si>
    <t>16.02.2026</t>
  </si>
  <si>
    <t>ST-2026-7719</t>
  </si>
  <si>
    <t>10.06.2026</t>
  </si>
  <si>
    <t>08.06.2026 (Leistungsdatum)</t>
  </si>
  <si>
    <t>51204</t>
  </si>
  <si>
    <t>PO-2026-11907</t>
  </si>
  <si>
    <t>Sensotec Messtechnik GmbH</t>
  </si>
  <si>
    <t>Messtechnik Ersatzteile</t>
  </si>
  <si>
    <t>10.07.2026</t>
  </si>
  <si>
    <t>HF-26-3308</t>
  </si>
  <si>
    <t>14.07.2026</t>
  </si>
  <si>
    <t>10.07.2026 (Leistungsdatum)</t>
  </si>
  <si>
    <t>50442</t>
  </si>
  <si>
    <t>PO-2026-12771</t>
  </si>
  <si>
    <t>Hydroflex Schlauchtechnik GmbH</t>
  </si>
  <si>
    <t>Hydraulikschläuche und Armaturen</t>
  </si>
  <si>
    <t>28.07.2026</t>
  </si>
  <si>
    <t>SK-2026-88117</t>
  </si>
  <si>
    <t>21.02.2026</t>
  </si>
  <si>
    <t>18.02.2026 (Leistungsdatum)</t>
  </si>
  <si>
    <t>50881</t>
  </si>
  <si>
    <t>PO-2026-09884</t>
  </si>
  <si>
    <t>Stahlkontor Südwest GmbH</t>
  </si>
  <si>
    <t>Stahlblech Rohmaterial</t>
  </si>
  <si>
    <t>PM-2026-5504</t>
  </si>
  <si>
    <t>31.03.2026</t>
  </si>
  <si>
    <t>27.03.2026 (Leistungsdatum)</t>
  </si>
  <si>
    <t>50993</t>
  </si>
  <si>
    <t>PO-2026-10118</t>
  </si>
  <si>
    <t>Polymera Kunststoffhandel GmbH</t>
  </si>
  <si>
    <t>Kunststoffgranulat</t>
  </si>
  <si>
    <t>AS-2026-0117</t>
  </si>
  <si>
    <t>08.01.2026</t>
  </si>
  <si>
    <t>01.01.2026 - 31.12.2026 (Versicherungsperiode)</t>
  </si>
  <si>
    <t>AS-3311</t>
  </si>
  <si>
    <t>Policennummer</t>
  </si>
  <si>
    <t>TV-2026-448120</t>
  </si>
  <si>
    <t>Assekur Industriemakler GmbH</t>
  </si>
  <si>
    <t>Transportversicherung</t>
  </si>
  <si>
    <t>07.02.2026</t>
  </si>
  <si>
    <t>TA-2026-0662</t>
  </si>
  <si>
    <t>25.06.2026</t>
  </si>
  <si>
    <t>22.06.2026 (Leistungsdatum)</t>
  </si>
  <si>
    <t>TA-1180</t>
  </si>
  <si>
    <t>Vakanz</t>
  </si>
  <si>
    <t>Leitung IT-Infrastruktur</t>
  </si>
  <si>
    <t>Talentis Personalberatung GmbH</t>
  </si>
  <si>
    <t>Personalvermittlung</t>
  </si>
  <si>
    <t>EF-2026-2201</t>
  </si>
  <si>
    <t>28.04.2026</t>
  </si>
  <si>
    <t>24.04.2026 (Leistungsdatum)</t>
  </si>
  <si>
    <t>EF-4402</t>
  </si>
  <si>
    <t>PO-2026-10662</t>
  </si>
  <si>
    <t>Ergoform Büroeinrichtung GmbH</t>
  </si>
  <si>
    <t>Büromöbel und Ergonomie</t>
  </si>
  <si>
    <t>19.05.2026</t>
  </si>
  <si>
    <t>AQ-2026-1104</t>
  </si>
  <si>
    <t>04.06.2026</t>
  </si>
  <si>
    <t>AQ-7714</t>
  </si>
  <si>
    <t>SV-2023-22</t>
  </si>
  <si>
    <t>Aquavit Wasserspender GmbH</t>
  </si>
  <si>
    <t>Wasserspender und Kaffeeservice</t>
  </si>
  <si>
    <t>18.06.2026</t>
  </si>
  <si>
    <t>VS-2026-0388</t>
  </si>
  <si>
    <t>30.04.2026</t>
  </si>
  <si>
    <t>10.02.2026 - 24.04.2026</t>
  </si>
  <si>
    <t>VS-2019</t>
  </si>
  <si>
    <t>Kursnummer</t>
  </si>
  <si>
    <t>BE-2026-04</t>
  </si>
  <si>
    <t>Verbal Sprachinstitut GmbH</t>
  </si>
  <si>
    <t>Sprachkurse Business English</t>
  </si>
  <si>
    <t>21.05.2026</t>
  </si>
  <si>
    <t>B8-2026-0227</t>
  </si>
  <si>
    <t>22.07.2026</t>
  </si>
  <si>
    <t>06.07.2026 - 17.07.2026</t>
  </si>
  <si>
    <t>B8-1150</t>
  </si>
  <si>
    <t>Imagefilm Nachhaltigkeit</t>
  </si>
  <si>
    <t>Blende8 Film und Foto GmbH</t>
  </si>
  <si>
    <t>Imagefilm und Fotoproduktion</t>
  </si>
  <si>
    <t>12.08.2026</t>
  </si>
  <si>
    <t>Summe</t>
  </si>
  <si>
    <t>Legende:</t>
  </si>
  <si>
    <t>Blaue Schrift = Wert aus der Original-Rechnung (Netto, Steuersatz)</t>
  </si>
  <si>
    <t>Schwarze Schrift = berechnet (USt = Netto x Steuersatz, Brutto = Netto + USt)</t>
  </si>
  <si>
    <t>Zeilen 2-12: hochgeladene Rechnungen 01-11 | Zeilen 13-51: Rechnungen 12-50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</si>
</sst>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&quot; €&quot;"/>
  </numFmts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sz val="9"/>
      <color rgb="FF0000FF"/>
      <name val="Arial"/>
      <charset val="1"/>
    </font>
    <font>
      <sz val="9"/>
      <name val="Arial"/>
      <charset val="1"/>
    </font>
    <font>
      <i/>
      <sz val="9"/>
      <name val="Arial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5" fontId="3" fillId="0" borderId="1" xfId="0" applyNumberFormat="1" applyFont="1" applyBorder="1" applyAlignment="1">
      <alignment vertical="center"/>
    </xf>
    <xf numFmtId="9" fontId="3" fillId="0" borderId="1" xfId="0" applyNumberFormat="1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5" fillId="0" borderId="0" xfId="0" applyFont="1"/>
    <xf numFmtId="165" fontId="5" fillId="0" borderId="2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topLeftCell="C1" zoomScaleNormal="100" workbookViewId="0">
      <pane ySplit="1" topLeftCell="A2" activePane="bottomLeft" state="frozen"/>
      <selection pane="bottomLeft" activeCell="P9" sqref="P9"/>
    </sheetView>
  </sheetViews>
  <sheetFormatPr defaultColWidth="8.6328125" defaultRowHeight="14.5" x14ac:dyDescent="0.35"/>
  <cols>
    <col min="1" max="1" width="32" customWidth="1"/>
    <col min="2" max="2" width="16" customWidth="1"/>
    <col min="3" max="3" width="13" customWidth="1"/>
    <col min="4" max="4" width="24" customWidth="1"/>
    <col min="5" max="5" width="13" customWidth="1"/>
    <col min="6" max="6" width="18" customWidth="1"/>
    <col min="7" max="7" width="22" customWidth="1"/>
    <col min="8" max="8" width="28" customWidth="1"/>
    <col min="9" max="9" width="32" customWidth="1"/>
    <col min="10" max="10" width="13" customWidth="1"/>
    <col min="11" max="11" width="10" customWidth="1"/>
    <col min="12" max="12" width="12" customWidth="1"/>
    <col min="13" max="13" width="15" customWidth="1"/>
    <col min="14" max="14" width="12" customWidth="1"/>
    <col min="15" max="15" width="44" customWidth="1"/>
  </cols>
  <sheetData>
    <row r="1" spans="1:1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 spans="1:15" ht="25" x14ac:dyDescent="0.35">
      <c r="A2" s="2" t="s">
        <v>14</v>
      </c>
      <c r="B2" s="2" t="s">
        <v>15</v>
      </c>
      <c r="C2" s="3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4" t="s">
        <v>22</v>
      </c>
      <c r="J2" s="5">
        <v>3372</v>
      </c>
      <c r="K2" s="6">
        <v>0.19</v>
      </c>
      <c r="L2" s="7">
        <f t="shared" ref="L2:L33" si="0">ROUND(J2*K2,2)</f>
        <v>640.67999999999995</v>
      </c>
      <c r="M2" s="8">
        <f t="shared" ref="M2:M33" si="1">ROUND(J2+L2,2)</f>
        <v>4012.68</v>
      </c>
      <c r="N2" s="3" t="s">
        <v>23</v>
      </c>
      <c r="O2" s="2"/>
    </row>
    <row r="3" spans="1:15" x14ac:dyDescent="0.35">
      <c r="A3" s="2" t="s">
        <v>14</v>
      </c>
      <c r="B3" s="2" t="s">
        <v>24</v>
      </c>
      <c r="C3" s="3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4" t="s">
        <v>31</v>
      </c>
      <c r="J3" s="5">
        <v>4878</v>
      </c>
      <c r="K3" s="6">
        <v>0.19</v>
      </c>
      <c r="L3" s="7">
        <f t="shared" si="0"/>
        <v>926.82</v>
      </c>
      <c r="M3" s="8">
        <f t="shared" si="1"/>
        <v>5804.82</v>
      </c>
      <c r="N3" s="3" t="s">
        <v>32</v>
      </c>
      <c r="O3" s="2"/>
    </row>
    <row r="4" spans="1:15" ht="25" x14ac:dyDescent="0.35">
      <c r="A4" s="2" t="s">
        <v>33</v>
      </c>
      <c r="B4" s="2" t="s">
        <v>34</v>
      </c>
      <c r="C4" s="3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4" t="s">
        <v>41</v>
      </c>
      <c r="J4" s="5">
        <v>26930</v>
      </c>
      <c r="K4" s="6">
        <v>0.19</v>
      </c>
      <c r="L4" s="7">
        <f t="shared" si="0"/>
        <v>5116.7</v>
      </c>
      <c r="M4" s="8">
        <f t="shared" si="1"/>
        <v>32046.7</v>
      </c>
      <c r="N4" s="3" t="s">
        <v>42</v>
      </c>
      <c r="O4" s="2"/>
    </row>
    <row r="5" spans="1:15" x14ac:dyDescent="0.35">
      <c r="A5" s="2" t="s">
        <v>43</v>
      </c>
      <c r="B5" s="2" t="s">
        <v>44</v>
      </c>
      <c r="C5" s="3" t="s">
        <v>45</v>
      </c>
      <c r="D5" s="2" t="s">
        <v>46</v>
      </c>
      <c r="E5" s="2"/>
      <c r="F5" s="2" t="s">
        <v>47</v>
      </c>
      <c r="G5" s="2" t="s">
        <v>48</v>
      </c>
      <c r="H5" s="2" t="s">
        <v>49</v>
      </c>
      <c r="I5" s="4" t="s">
        <v>50</v>
      </c>
      <c r="J5" s="5">
        <v>3913.4</v>
      </c>
      <c r="K5" s="6">
        <v>0.19</v>
      </c>
      <c r="L5" s="7">
        <f t="shared" si="0"/>
        <v>743.55</v>
      </c>
      <c r="M5" s="8">
        <f t="shared" si="1"/>
        <v>4656.95</v>
      </c>
      <c r="N5" s="3" t="s">
        <v>51</v>
      </c>
      <c r="O5" s="2"/>
    </row>
    <row r="6" spans="1:15" x14ac:dyDescent="0.35">
      <c r="A6" s="2" t="s">
        <v>52</v>
      </c>
      <c r="B6" s="2" t="s">
        <v>53</v>
      </c>
      <c r="C6" s="3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4" t="s">
        <v>60</v>
      </c>
      <c r="J6" s="5">
        <v>4595.1499999999996</v>
      </c>
      <c r="K6" s="6">
        <v>0.19</v>
      </c>
      <c r="L6" s="7">
        <f t="shared" si="0"/>
        <v>873.08</v>
      </c>
      <c r="M6" s="8">
        <f t="shared" si="1"/>
        <v>5468.23</v>
      </c>
      <c r="N6" s="3" t="s">
        <v>61</v>
      </c>
      <c r="O6" s="2"/>
    </row>
    <row r="7" spans="1:15" ht="25" x14ac:dyDescent="0.35">
      <c r="A7" s="2" t="s">
        <v>62</v>
      </c>
      <c r="B7" s="2" t="s">
        <v>63</v>
      </c>
      <c r="C7" s="3" t="s">
        <v>64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4" t="s">
        <v>70</v>
      </c>
      <c r="J7" s="5">
        <v>28806</v>
      </c>
      <c r="K7" s="6">
        <v>0.19</v>
      </c>
      <c r="L7" s="7">
        <f t="shared" si="0"/>
        <v>5473.14</v>
      </c>
      <c r="M7" s="8">
        <f t="shared" si="1"/>
        <v>34279.14</v>
      </c>
      <c r="N7" s="3" t="s">
        <v>71</v>
      </c>
      <c r="O7" s="2"/>
    </row>
    <row r="8" spans="1:15" ht="25" x14ac:dyDescent="0.35">
      <c r="A8" s="2" t="s">
        <v>14</v>
      </c>
      <c r="B8" s="2" t="s">
        <v>72</v>
      </c>
      <c r="C8" s="3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4" t="s">
        <v>79</v>
      </c>
      <c r="J8" s="5">
        <v>12980</v>
      </c>
      <c r="K8" s="6">
        <v>0.19</v>
      </c>
      <c r="L8" s="7">
        <f t="shared" si="0"/>
        <v>2466.1999999999998</v>
      </c>
      <c r="M8" s="8">
        <f t="shared" si="1"/>
        <v>15446.2</v>
      </c>
      <c r="N8" s="3" t="s">
        <v>25</v>
      </c>
      <c r="O8" s="2"/>
    </row>
    <row r="9" spans="1:15" x14ac:dyDescent="0.35">
      <c r="A9" s="2" t="s">
        <v>80</v>
      </c>
      <c r="B9" s="2" t="s">
        <v>81</v>
      </c>
      <c r="C9" s="3" t="s">
        <v>82</v>
      </c>
      <c r="D9" s="2" t="s">
        <v>83</v>
      </c>
      <c r="E9" s="2" t="s">
        <v>84</v>
      </c>
      <c r="F9" s="2" t="s">
        <v>19</v>
      </c>
      <c r="G9" s="2" t="s">
        <v>85</v>
      </c>
      <c r="H9" s="2" t="s">
        <v>86</v>
      </c>
      <c r="I9" s="4" t="s">
        <v>87</v>
      </c>
      <c r="J9" s="5">
        <v>6629</v>
      </c>
      <c r="K9" s="6">
        <v>0.19</v>
      </c>
      <c r="L9" s="7">
        <f t="shared" si="0"/>
        <v>1259.51</v>
      </c>
      <c r="M9" s="8">
        <f t="shared" si="1"/>
        <v>7888.51</v>
      </c>
      <c r="N9" s="3" t="s">
        <v>88</v>
      </c>
      <c r="O9" s="2"/>
    </row>
    <row r="10" spans="1:15" x14ac:dyDescent="0.35">
      <c r="A10" s="2" t="s">
        <v>43</v>
      </c>
      <c r="B10" s="2" t="s">
        <v>89</v>
      </c>
      <c r="C10" s="3" t="s">
        <v>90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4" t="s">
        <v>96</v>
      </c>
      <c r="J10" s="5">
        <v>8715</v>
      </c>
      <c r="K10" s="6">
        <v>0.19</v>
      </c>
      <c r="L10" s="7">
        <f t="shared" si="0"/>
        <v>1655.85</v>
      </c>
      <c r="M10" s="8">
        <f t="shared" si="1"/>
        <v>10370.85</v>
      </c>
      <c r="N10" s="3" t="s">
        <v>97</v>
      </c>
      <c r="O10" s="2"/>
    </row>
    <row r="11" spans="1:15" x14ac:dyDescent="0.35">
      <c r="A11" s="2" t="s">
        <v>33</v>
      </c>
      <c r="B11" s="2" t="s">
        <v>98</v>
      </c>
      <c r="C11" s="3" t="s">
        <v>99</v>
      </c>
      <c r="D11" s="2" t="s">
        <v>100</v>
      </c>
      <c r="E11" s="2" t="s">
        <v>101</v>
      </c>
      <c r="F11" s="2" t="s">
        <v>102</v>
      </c>
      <c r="G11" s="2" t="s">
        <v>103</v>
      </c>
      <c r="H11" s="2" t="s">
        <v>104</v>
      </c>
      <c r="I11" s="4" t="s">
        <v>105</v>
      </c>
      <c r="J11" s="5">
        <v>27282</v>
      </c>
      <c r="K11" s="6">
        <v>0.19</v>
      </c>
      <c r="L11" s="7">
        <f t="shared" si="0"/>
        <v>5183.58</v>
      </c>
      <c r="M11" s="8">
        <f t="shared" si="1"/>
        <v>32465.58</v>
      </c>
      <c r="N11" s="3" t="s">
        <v>106</v>
      </c>
      <c r="O11" s="2"/>
    </row>
    <row r="12" spans="1:15" x14ac:dyDescent="0.35">
      <c r="A12" s="2" t="s">
        <v>52</v>
      </c>
      <c r="B12" s="2" t="s">
        <v>107</v>
      </c>
      <c r="C12" s="3" t="s">
        <v>108</v>
      </c>
      <c r="D12" s="2" t="s">
        <v>109</v>
      </c>
      <c r="E12" s="2" t="s">
        <v>110</v>
      </c>
      <c r="F12" s="2" t="s">
        <v>111</v>
      </c>
      <c r="G12" s="2" t="s">
        <v>112</v>
      </c>
      <c r="H12" s="2" t="s">
        <v>113</v>
      </c>
      <c r="I12" s="4" t="s">
        <v>114</v>
      </c>
      <c r="J12" s="5">
        <v>20142.400000000001</v>
      </c>
      <c r="K12" s="6">
        <v>0.19</v>
      </c>
      <c r="L12" s="7">
        <f t="shared" si="0"/>
        <v>3827.06</v>
      </c>
      <c r="M12" s="8">
        <f t="shared" si="1"/>
        <v>23969.46</v>
      </c>
      <c r="N12" s="3" t="s">
        <v>115</v>
      </c>
      <c r="O12" s="2"/>
    </row>
    <row r="13" spans="1:15" x14ac:dyDescent="0.35">
      <c r="A13" s="2" t="s">
        <v>43</v>
      </c>
      <c r="B13" s="2" t="s">
        <v>116</v>
      </c>
      <c r="C13" s="3" t="s">
        <v>117</v>
      </c>
      <c r="D13" s="2" t="s">
        <v>118</v>
      </c>
      <c r="E13" s="2" t="s">
        <v>119</v>
      </c>
      <c r="F13" s="2" t="s">
        <v>120</v>
      </c>
      <c r="G13" s="2" t="s">
        <v>121</v>
      </c>
      <c r="H13" s="2" t="s">
        <v>122</v>
      </c>
      <c r="I13" s="4" t="s">
        <v>123</v>
      </c>
      <c r="J13" s="5">
        <v>132549</v>
      </c>
      <c r="K13" s="6">
        <v>0.19</v>
      </c>
      <c r="L13" s="7">
        <f t="shared" si="0"/>
        <v>25184.31</v>
      </c>
      <c r="M13" s="8">
        <f t="shared" si="1"/>
        <v>157733.31</v>
      </c>
      <c r="N13" s="3" t="s">
        <v>124</v>
      </c>
      <c r="O13" s="2"/>
    </row>
    <row r="14" spans="1:15" x14ac:dyDescent="0.35">
      <c r="A14" s="2" t="s">
        <v>80</v>
      </c>
      <c r="B14" s="2" t="s">
        <v>125</v>
      </c>
      <c r="C14" s="3" t="s">
        <v>126</v>
      </c>
      <c r="D14" s="2" t="s">
        <v>127</v>
      </c>
      <c r="E14" s="2" t="s">
        <v>128</v>
      </c>
      <c r="F14" s="2" t="s">
        <v>129</v>
      </c>
      <c r="G14" s="2" t="s">
        <v>130</v>
      </c>
      <c r="H14" s="2" t="s">
        <v>131</v>
      </c>
      <c r="I14" s="4" t="s">
        <v>132</v>
      </c>
      <c r="J14" s="5">
        <v>48610.400000000001</v>
      </c>
      <c r="K14" s="6">
        <v>0.19</v>
      </c>
      <c r="L14" s="7">
        <f t="shared" si="0"/>
        <v>9235.98</v>
      </c>
      <c r="M14" s="8">
        <f t="shared" si="1"/>
        <v>57846.38</v>
      </c>
      <c r="N14" s="3" t="s">
        <v>133</v>
      </c>
      <c r="O14" s="2"/>
    </row>
    <row r="15" spans="1:15" x14ac:dyDescent="0.35">
      <c r="A15" s="2" t="s">
        <v>33</v>
      </c>
      <c r="B15" s="2" t="s">
        <v>134</v>
      </c>
      <c r="C15" s="3" t="s">
        <v>90</v>
      </c>
      <c r="D15" s="2" t="s">
        <v>91</v>
      </c>
      <c r="E15" s="2" t="s">
        <v>135</v>
      </c>
      <c r="F15" s="2" t="s">
        <v>136</v>
      </c>
      <c r="G15" s="2" t="s">
        <v>137</v>
      </c>
      <c r="H15" s="2" t="s">
        <v>138</v>
      </c>
      <c r="I15" s="4" t="s">
        <v>139</v>
      </c>
      <c r="J15" s="5">
        <v>11671.6</v>
      </c>
      <c r="K15" s="6">
        <v>0.19</v>
      </c>
      <c r="L15" s="7">
        <f t="shared" si="0"/>
        <v>2217.6</v>
      </c>
      <c r="M15" s="8">
        <f t="shared" si="1"/>
        <v>13889.2</v>
      </c>
      <c r="N15" s="3" t="s">
        <v>140</v>
      </c>
      <c r="O15" s="2"/>
    </row>
    <row r="16" spans="1:15" x14ac:dyDescent="0.35">
      <c r="A16" s="2" t="s">
        <v>14</v>
      </c>
      <c r="B16" s="2" t="s">
        <v>141</v>
      </c>
      <c r="C16" s="3" t="s">
        <v>142</v>
      </c>
      <c r="D16" s="2" t="s">
        <v>91</v>
      </c>
      <c r="E16" s="2" t="s">
        <v>143</v>
      </c>
      <c r="F16" s="2" t="s">
        <v>93</v>
      </c>
      <c r="G16" s="2" t="s">
        <v>144</v>
      </c>
      <c r="H16" s="2" t="s">
        <v>145</v>
      </c>
      <c r="I16" s="4" t="s">
        <v>146</v>
      </c>
      <c r="J16" s="5">
        <v>86244</v>
      </c>
      <c r="K16" s="6">
        <v>0.19</v>
      </c>
      <c r="L16" s="7">
        <f t="shared" si="0"/>
        <v>16386.36</v>
      </c>
      <c r="M16" s="8">
        <f t="shared" si="1"/>
        <v>102630.36</v>
      </c>
      <c r="N16" s="3" t="s">
        <v>147</v>
      </c>
      <c r="O16" s="2"/>
    </row>
    <row r="17" spans="1:15" x14ac:dyDescent="0.35">
      <c r="A17" s="2" t="s">
        <v>43</v>
      </c>
      <c r="B17" s="2" t="s">
        <v>148</v>
      </c>
      <c r="C17" s="3" t="s">
        <v>149</v>
      </c>
      <c r="D17" s="2" t="s">
        <v>150</v>
      </c>
      <c r="E17" s="2" t="s">
        <v>151</v>
      </c>
      <c r="F17" s="2" t="s">
        <v>19</v>
      </c>
      <c r="G17" s="2" t="s">
        <v>152</v>
      </c>
      <c r="H17" s="2" t="s">
        <v>153</v>
      </c>
      <c r="I17" s="4" t="s">
        <v>154</v>
      </c>
      <c r="J17" s="5">
        <v>24130</v>
      </c>
      <c r="K17" s="6">
        <v>0.19</v>
      </c>
      <c r="L17" s="7">
        <f t="shared" si="0"/>
        <v>4584.7</v>
      </c>
      <c r="M17" s="8">
        <f t="shared" si="1"/>
        <v>28714.7</v>
      </c>
      <c r="N17" s="3" t="s">
        <v>140</v>
      </c>
      <c r="O17" s="2"/>
    </row>
    <row r="18" spans="1:15" x14ac:dyDescent="0.35">
      <c r="A18" s="2" t="s">
        <v>155</v>
      </c>
      <c r="B18" s="2" t="s">
        <v>156</v>
      </c>
      <c r="C18" s="3" t="s">
        <v>157</v>
      </c>
      <c r="D18" s="2" t="s">
        <v>158</v>
      </c>
      <c r="E18" s="2" t="s">
        <v>159</v>
      </c>
      <c r="F18" s="2" t="s">
        <v>47</v>
      </c>
      <c r="G18" s="2" t="s">
        <v>160</v>
      </c>
      <c r="H18" s="2" t="s">
        <v>161</v>
      </c>
      <c r="I18" s="4" t="s">
        <v>162</v>
      </c>
      <c r="J18" s="5">
        <v>5549</v>
      </c>
      <c r="K18" s="6">
        <v>0.19</v>
      </c>
      <c r="L18" s="7">
        <f t="shared" si="0"/>
        <v>1054.31</v>
      </c>
      <c r="M18" s="8">
        <f t="shared" si="1"/>
        <v>6603.31</v>
      </c>
      <c r="N18" s="3" t="s">
        <v>163</v>
      </c>
      <c r="O18" s="2"/>
    </row>
    <row r="19" spans="1:15" x14ac:dyDescent="0.35">
      <c r="A19" s="2" t="s">
        <v>80</v>
      </c>
      <c r="B19" s="2" t="s">
        <v>164</v>
      </c>
      <c r="C19" s="3" t="s">
        <v>165</v>
      </c>
      <c r="D19" s="2" t="s">
        <v>166</v>
      </c>
      <c r="E19" s="2" t="s">
        <v>167</v>
      </c>
      <c r="F19" s="2" t="s">
        <v>168</v>
      </c>
      <c r="G19" s="2" t="s">
        <v>169</v>
      </c>
      <c r="H19" s="2" t="s">
        <v>170</v>
      </c>
      <c r="I19" s="4" t="s">
        <v>171</v>
      </c>
      <c r="J19" s="5">
        <v>5163.6000000000004</v>
      </c>
      <c r="K19" s="6">
        <v>0.19</v>
      </c>
      <c r="L19" s="7">
        <f t="shared" si="0"/>
        <v>981.08</v>
      </c>
      <c r="M19" s="8">
        <f t="shared" si="1"/>
        <v>6144.68</v>
      </c>
      <c r="N19" s="3" t="s">
        <v>172</v>
      </c>
      <c r="O19" s="2"/>
    </row>
    <row r="20" spans="1:15" x14ac:dyDescent="0.35">
      <c r="A20" s="2" t="s">
        <v>52</v>
      </c>
      <c r="B20" s="2" t="s">
        <v>173</v>
      </c>
      <c r="C20" s="3" t="s">
        <v>174</v>
      </c>
      <c r="D20" s="2" t="s">
        <v>166</v>
      </c>
      <c r="E20" s="2" t="s">
        <v>175</v>
      </c>
      <c r="F20" s="2" t="s">
        <v>93</v>
      </c>
      <c r="G20" s="2" t="s">
        <v>176</v>
      </c>
      <c r="H20" s="2" t="s">
        <v>177</v>
      </c>
      <c r="I20" s="4" t="s">
        <v>178</v>
      </c>
      <c r="J20" s="5">
        <v>2698.4</v>
      </c>
      <c r="K20" s="6">
        <v>0.19</v>
      </c>
      <c r="L20" s="7">
        <f t="shared" si="0"/>
        <v>512.70000000000005</v>
      </c>
      <c r="M20" s="8">
        <f t="shared" si="1"/>
        <v>3211.1</v>
      </c>
      <c r="N20" s="3" t="s">
        <v>179</v>
      </c>
      <c r="O20" s="2"/>
    </row>
    <row r="21" spans="1:15" x14ac:dyDescent="0.35">
      <c r="A21" s="2" t="s">
        <v>14</v>
      </c>
      <c r="B21" s="2" t="s">
        <v>180</v>
      </c>
      <c r="C21" s="3" t="s">
        <v>181</v>
      </c>
      <c r="D21" s="2" t="s">
        <v>182</v>
      </c>
      <c r="E21" s="2" t="s">
        <v>183</v>
      </c>
      <c r="F21" s="2" t="s">
        <v>136</v>
      </c>
      <c r="G21" s="2" t="s">
        <v>184</v>
      </c>
      <c r="H21" s="2" t="s">
        <v>185</v>
      </c>
      <c r="I21" s="4" t="s">
        <v>186</v>
      </c>
      <c r="J21" s="5">
        <v>25323</v>
      </c>
      <c r="K21" s="6">
        <v>0.19</v>
      </c>
      <c r="L21" s="7">
        <f t="shared" si="0"/>
        <v>4811.37</v>
      </c>
      <c r="M21" s="8">
        <f t="shared" si="1"/>
        <v>30134.37</v>
      </c>
      <c r="N21" s="3" t="s">
        <v>187</v>
      </c>
      <c r="O21" s="2"/>
    </row>
    <row r="22" spans="1:15" x14ac:dyDescent="0.35">
      <c r="A22" s="2" t="s">
        <v>14</v>
      </c>
      <c r="B22" s="2" t="s">
        <v>188</v>
      </c>
      <c r="C22" s="3" t="s">
        <v>71</v>
      </c>
      <c r="D22" s="2" t="s">
        <v>189</v>
      </c>
      <c r="E22" s="2" t="s">
        <v>190</v>
      </c>
      <c r="F22" s="2" t="s">
        <v>191</v>
      </c>
      <c r="G22" s="2" t="s">
        <v>192</v>
      </c>
      <c r="H22" s="2" t="s">
        <v>193</v>
      </c>
      <c r="I22" s="4" t="s">
        <v>194</v>
      </c>
      <c r="J22" s="5">
        <v>15872</v>
      </c>
      <c r="K22" s="6">
        <v>0.19</v>
      </c>
      <c r="L22" s="7">
        <f t="shared" si="0"/>
        <v>3015.68</v>
      </c>
      <c r="M22" s="8">
        <f t="shared" si="1"/>
        <v>18887.68</v>
      </c>
      <c r="N22" s="3" t="s">
        <v>195</v>
      </c>
      <c r="O22" s="2"/>
    </row>
    <row r="23" spans="1:15" x14ac:dyDescent="0.35">
      <c r="A23" s="2" t="s">
        <v>14</v>
      </c>
      <c r="B23" s="2" t="s">
        <v>196</v>
      </c>
      <c r="C23" s="3" t="s">
        <v>42</v>
      </c>
      <c r="D23" s="2" t="s">
        <v>197</v>
      </c>
      <c r="E23" s="2" t="s">
        <v>198</v>
      </c>
      <c r="F23" s="2" t="s">
        <v>199</v>
      </c>
      <c r="G23" s="2" t="s">
        <v>200</v>
      </c>
      <c r="H23" s="2" t="s">
        <v>201</v>
      </c>
      <c r="I23" s="4" t="s">
        <v>202</v>
      </c>
      <c r="J23" s="5">
        <v>32630</v>
      </c>
      <c r="K23" s="6">
        <v>0.19</v>
      </c>
      <c r="L23" s="7">
        <f t="shared" si="0"/>
        <v>6199.7</v>
      </c>
      <c r="M23" s="8">
        <f t="shared" si="1"/>
        <v>38829.699999999997</v>
      </c>
      <c r="N23" s="3" t="s">
        <v>203</v>
      </c>
      <c r="O23" s="2"/>
    </row>
    <row r="24" spans="1:15" x14ac:dyDescent="0.35">
      <c r="A24" s="2" t="s">
        <v>14</v>
      </c>
      <c r="B24" s="2" t="s">
        <v>204</v>
      </c>
      <c r="C24" s="3" t="s">
        <v>205</v>
      </c>
      <c r="D24" s="2" t="s">
        <v>206</v>
      </c>
      <c r="E24" s="2" t="s">
        <v>207</v>
      </c>
      <c r="F24" s="2" t="s">
        <v>208</v>
      </c>
      <c r="G24" s="2" t="s">
        <v>209</v>
      </c>
      <c r="H24" s="2" t="s">
        <v>210</v>
      </c>
      <c r="I24" s="4" t="s">
        <v>211</v>
      </c>
      <c r="J24" s="5">
        <v>56160</v>
      </c>
      <c r="K24" s="6">
        <v>0.19</v>
      </c>
      <c r="L24" s="7">
        <f t="shared" si="0"/>
        <v>10670.4</v>
      </c>
      <c r="M24" s="8">
        <f t="shared" si="1"/>
        <v>66830.399999999994</v>
      </c>
      <c r="N24" s="3" t="s">
        <v>212</v>
      </c>
      <c r="O24" s="2"/>
    </row>
    <row r="25" spans="1:15" x14ac:dyDescent="0.35">
      <c r="A25" s="2" t="s">
        <v>43</v>
      </c>
      <c r="B25" s="2" t="s">
        <v>213</v>
      </c>
      <c r="C25" s="3" t="s">
        <v>214</v>
      </c>
      <c r="D25" s="2" t="s">
        <v>215</v>
      </c>
      <c r="E25" s="2" t="s">
        <v>216</v>
      </c>
      <c r="F25" s="2" t="s">
        <v>217</v>
      </c>
      <c r="G25" s="2" t="s">
        <v>218</v>
      </c>
      <c r="H25" s="2" t="s">
        <v>219</v>
      </c>
      <c r="I25" s="4" t="s">
        <v>220</v>
      </c>
      <c r="J25" s="5">
        <v>5305</v>
      </c>
      <c r="K25" s="6">
        <v>0.19</v>
      </c>
      <c r="L25" s="7">
        <f t="shared" si="0"/>
        <v>1007.95</v>
      </c>
      <c r="M25" s="8">
        <f t="shared" si="1"/>
        <v>6312.95</v>
      </c>
      <c r="N25" s="3" t="s">
        <v>181</v>
      </c>
      <c r="O25" s="2"/>
    </row>
    <row r="26" spans="1:15" x14ac:dyDescent="0.35">
      <c r="A26" s="2" t="s">
        <v>80</v>
      </c>
      <c r="B26" s="2" t="s">
        <v>221</v>
      </c>
      <c r="C26" s="3" t="s">
        <v>222</v>
      </c>
      <c r="D26" s="2" t="s">
        <v>223</v>
      </c>
      <c r="E26" s="2" t="s">
        <v>224</v>
      </c>
      <c r="F26" s="2" t="s">
        <v>38</v>
      </c>
      <c r="G26" s="2" t="s">
        <v>225</v>
      </c>
      <c r="H26" s="2" t="s">
        <v>226</v>
      </c>
      <c r="I26" s="4" t="s">
        <v>227</v>
      </c>
      <c r="J26" s="5">
        <v>11794</v>
      </c>
      <c r="K26" s="6">
        <v>0.19</v>
      </c>
      <c r="L26" s="7">
        <f t="shared" si="0"/>
        <v>2240.86</v>
      </c>
      <c r="M26" s="8">
        <f t="shared" si="1"/>
        <v>14034.86</v>
      </c>
      <c r="N26" s="3" t="s">
        <v>228</v>
      </c>
      <c r="O26" s="2"/>
    </row>
    <row r="27" spans="1:15" x14ac:dyDescent="0.35">
      <c r="A27" s="2" t="s">
        <v>62</v>
      </c>
      <c r="B27" s="2" t="s">
        <v>229</v>
      </c>
      <c r="C27" s="3" t="s">
        <v>172</v>
      </c>
      <c r="D27" s="2" t="s">
        <v>230</v>
      </c>
      <c r="E27" s="2" t="s">
        <v>231</v>
      </c>
      <c r="F27" s="2" t="s">
        <v>47</v>
      </c>
      <c r="G27" s="2" t="s">
        <v>232</v>
      </c>
      <c r="H27" s="2" t="s">
        <v>233</v>
      </c>
      <c r="I27" s="4" t="s">
        <v>234</v>
      </c>
      <c r="J27" s="5">
        <v>20204</v>
      </c>
      <c r="K27" s="6">
        <v>0.19</v>
      </c>
      <c r="L27" s="7">
        <f t="shared" si="0"/>
        <v>3838.76</v>
      </c>
      <c r="M27" s="8">
        <f t="shared" si="1"/>
        <v>24042.76</v>
      </c>
      <c r="N27" s="3" t="s">
        <v>181</v>
      </c>
      <c r="O27" s="2"/>
    </row>
    <row r="28" spans="1:15" x14ac:dyDescent="0.35">
      <c r="A28" s="2" t="s">
        <v>62</v>
      </c>
      <c r="B28" s="2" t="s">
        <v>235</v>
      </c>
      <c r="C28" s="3" t="s">
        <v>236</v>
      </c>
      <c r="D28" s="2" t="s">
        <v>237</v>
      </c>
      <c r="E28" s="2" t="s">
        <v>238</v>
      </c>
      <c r="F28" s="2" t="s">
        <v>38</v>
      </c>
      <c r="G28" s="2" t="s">
        <v>239</v>
      </c>
      <c r="H28" s="2" t="s">
        <v>240</v>
      </c>
      <c r="I28" s="4" t="s">
        <v>241</v>
      </c>
      <c r="J28" s="5">
        <v>48720</v>
      </c>
      <c r="K28" s="6">
        <v>0.19</v>
      </c>
      <c r="L28" s="7">
        <f t="shared" si="0"/>
        <v>9256.7999999999993</v>
      </c>
      <c r="M28" s="8">
        <f t="shared" si="1"/>
        <v>57976.800000000003</v>
      </c>
      <c r="N28" s="3" t="s">
        <v>242</v>
      </c>
      <c r="O28" s="2"/>
    </row>
    <row r="29" spans="1:15" x14ac:dyDescent="0.35">
      <c r="A29" s="2" t="s">
        <v>43</v>
      </c>
      <c r="B29" s="2" t="s">
        <v>243</v>
      </c>
      <c r="C29" s="3" t="s">
        <v>244</v>
      </c>
      <c r="D29" s="2" t="s">
        <v>245</v>
      </c>
      <c r="E29" s="2" t="s">
        <v>246</v>
      </c>
      <c r="F29" s="2" t="s">
        <v>102</v>
      </c>
      <c r="G29" s="2" t="s">
        <v>247</v>
      </c>
      <c r="H29" s="2" t="s">
        <v>248</v>
      </c>
      <c r="I29" s="4" t="s">
        <v>249</v>
      </c>
      <c r="J29" s="5">
        <v>216400</v>
      </c>
      <c r="K29" s="6">
        <v>0.19</v>
      </c>
      <c r="L29" s="7">
        <f t="shared" si="0"/>
        <v>41116</v>
      </c>
      <c r="M29" s="8">
        <f t="shared" si="1"/>
        <v>257516</v>
      </c>
      <c r="N29" s="3" t="s">
        <v>250</v>
      </c>
      <c r="O29" s="2"/>
    </row>
    <row r="30" spans="1:15" x14ac:dyDescent="0.35">
      <c r="A30" s="2" t="s">
        <v>33</v>
      </c>
      <c r="B30" s="2" t="s">
        <v>251</v>
      </c>
      <c r="C30" s="3" t="s">
        <v>252</v>
      </c>
      <c r="D30" s="2" t="s">
        <v>182</v>
      </c>
      <c r="E30" s="2" t="s">
        <v>253</v>
      </c>
      <c r="F30" s="2" t="s">
        <v>93</v>
      </c>
      <c r="G30" s="2" t="s">
        <v>254</v>
      </c>
      <c r="H30" s="2" t="s">
        <v>255</v>
      </c>
      <c r="I30" s="4" t="s">
        <v>256</v>
      </c>
      <c r="J30" s="5">
        <v>18440</v>
      </c>
      <c r="K30" s="6">
        <v>0.19</v>
      </c>
      <c r="L30" s="7">
        <f t="shared" si="0"/>
        <v>3503.6</v>
      </c>
      <c r="M30" s="8">
        <f t="shared" si="1"/>
        <v>21943.599999999999</v>
      </c>
      <c r="N30" s="3" t="s">
        <v>257</v>
      </c>
      <c r="O30" s="2"/>
    </row>
    <row r="31" spans="1:15" x14ac:dyDescent="0.35">
      <c r="A31" s="2" t="s">
        <v>52</v>
      </c>
      <c r="B31" s="2" t="s">
        <v>258</v>
      </c>
      <c r="C31" s="3" t="s">
        <v>25</v>
      </c>
      <c r="D31" s="2" t="s">
        <v>259</v>
      </c>
      <c r="E31" s="2" t="s">
        <v>260</v>
      </c>
      <c r="F31" s="2" t="s">
        <v>93</v>
      </c>
      <c r="G31" s="2" t="s">
        <v>261</v>
      </c>
      <c r="H31" s="2" t="s">
        <v>262</v>
      </c>
      <c r="I31" s="4" t="s">
        <v>263</v>
      </c>
      <c r="J31" s="5">
        <v>27033.599999999999</v>
      </c>
      <c r="K31" s="6">
        <v>0.19</v>
      </c>
      <c r="L31" s="7">
        <f t="shared" si="0"/>
        <v>5136.38</v>
      </c>
      <c r="M31" s="8">
        <f t="shared" si="1"/>
        <v>32169.98</v>
      </c>
      <c r="N31" s="3" t="s">
        <v>264</v>
      </c>
      <c r="O31" s="2"/>
    </row>
    <row r="32" spans="1:15" x14ac:dyDescent="0.35">
      <c r="A32" s="2" t="s">
        <v>52</v>
      </c>
      <c r="B32" s="2" t="s">
        <v>265</v>
      </c>
      <c r="C32" s="3" t="s">
        <v>266</v>
      </c>
      <c r="D32" s="2" t="s">
        <v>91</v>
      </c>
      <c r="E32" s="2" t="s">
        <v>267</v>
      </c>
      <c r="F32" s="2" t="s">
        <v>268</v>
      </c>
      <c r="G32" s="2" t="s">
        <v>269</v>
      </c>
      <c r="H32" s="2" t="s">
        <v>270</v>
      </c>
      <c r="I32" s="4" t="s">
        <v>271</v>
      </c>
      <c r="J32" s="5">
        <v>15394</v>
      </c>
      <c r="K32" s="6">
        <v>0.19</v>
      </c>
      <c r="L32" s="7">
        <f t="shared" si="0"/>
        <v>2924.86</v>
      </c>
      <c r="M32" s="8">
        <f t="shared" si="1"/>
        <v>18318.86</v>
      </c>
      <c r="N32" s="3" t="s">
        <v>272</v>
      </c>
      <c r="O32" s="2"/>
    </row>
    <row r="33" spans="1:15" x14ac:dyDescent="0.35">
      <c r="A33" s="2" t="s">
        <v>80</v>
      </c>
      <c r="B33" s="2" t="s">
        <v>273</v>
      </c>
      <c r="C33" s="3" t="s">
        <v>274</v>
      </c>
      <c r="D33" s="2" t="s">
        <v>275</v>
      </c>
      <c r="E33" s="2" t="s">
        <v>276</v>
      </c>
      <c r="F33" s="2" t="s">
        <v>19</v>
      </c>
      <c r="G33" s="2" t="s">
        <v>277</v>
      </c>
      <c r="H33" s="2" t="s">
        <v>278</v>
      </c>
      <c r="I33" s="4" t="s">
        <v>279</v>
      </c>
      <c r="J33" s="5">
        <v>16986</v>
      </c>
      <c r="K33" s="6">
        <v>0.19</v>
      </c>
      <c r="L33" s="7">
        <f t="shared" si="0"/>
        <v>3227.34</v>
      </c>
      <c r="M33" s="8">
        <f t="shared" si="1"/>
        <v>20213.34</v>
      </c>
      <c r="N33" s="3" t="s">
        <v>280</v>
      </c>
      <c r="O33" s="2"/>
    </row>
    <row r="34" spans="1:15" x14ac:dyDescent="0.35">
      <c r="A34" s="2" t="s">
        <v>155</v>
      </c>
      <c r="B34" s="2" t="s">
        <v>281</v>
      </c>
      <c r="C34" s="3" t="s">
        <v>282</v>
      </c>
      <c r="D34" s="2" t="s">
        <v>283</v>
      </c>
      <c r="E34" s="2" t="s">
        <v>284</v>
      </c>
      <c r="F34" s="2" t="s">
        <v>19</v>
      </c>
      <c r="G34" s="2" t="s">
        <v>285</v>
      </c>
      <c r="H34" s="2" t="s">
        <v>286</v>
      </c>
      <c r="I34" s="4" t="s">
        <v>287</v>
      </c>
      <c r="J34" s="5">
        <v>4905.2</v>
      </c>
      <c r="K34" s="6">
        <v>0.19</v>
      </c>
      <c r="L34" s="7">
        <f t="shared" ref="L34:L65" si="2">ROUND(J34*K34,2)</f>
        <v>931.99</v>
      </c>
      <c r="M34" s="8">
        <f t="shared" ref="M34:M65" si="3">ROUND(J34+L34,2)</f>
        <v>5837.19</v>
      </c>
      <c r="N34" s="3" t="s">
        <v>288</v>
      </c>
      <c r="O34" s="2"/>
    </row>
    <row r="35" spans="1:15" x14ac:dyDescent="0.35">
      <c r="A35" s="2" t="s">
        <v>43</v>
      </c>
      <c r="B35" s="2" t="s">
        <v>289</v>
      </c>
      <c r="C35" s="3" t="s">
        <v>290</v>
      </c>
      <c r="D35" s="2" t="s">
        <v>291</v>
      </c>
      <c r="E35" s="2" t="s">
        <v>292</v>
      </c>
      <c r="F35" s="2" t="s">
        <v>293</v>
      </c>
      <c r="G35" s="2" t="s">
        <v>294</v>
      </c>
      <c r="H35" s="2" t="s">
        <v>295</v>
      </c>
      <c r="I35" s="4" t="s">
        <v>296</v>
      </c>
      <c r="J35" s="5">
        <v>11928</v>
      </c>
      <c r="K35" s="6">
        <v>0.19</v>
      </c>
      <c r="L35" s="7">
        <f t="shared" si="2"/>
        <v>2266.3200000000002</v>
      </c>
      <c r="M35" s="8">
        <f t="shared" si="3"/>
        <v>14194.32</v>
      </c>
      <c r="N35" s="3" t="s">
        <v>297</v>
      </c>
      <c r="O35" s="2"/>
    </row>
    <row r="36" spans="1:15" x14ac:dyDescent="0.35">
      <c r="A36" s="2" t="s">
        <v>80</v>
      </c>
      <c r="B36" s="2" t="s">
        <v>298</v>
      </c>
      <c r="C36" s="3" t="s">
        <v>299</v>
      </c>
      <c r="D36" s="2" t="s">
        <v>300</v>
      </c>
      <c r="E36" s="2" t="s">
        <v>301</v>
      </c>
      <c r="F36" s="2" t="s">
        <v>302</v>
      </c>
      <c r="G36" s="2" t="s">
        <v>303</v>
      </c>
      <c r="H36" s="2" t="s">
        <v>304</v>
      </c>
      <c r="I36" s="4" t="s">
        <v>305</v>
      </c>
      <c r="J36" s="5">
        <v>11070</v>
      </c>
      <c r="K36" s="6">
        <v>0.19</v>
      </c>
      <c r="L36" s="7">
        <f t="shared" si="2"/>
        <v>2103.3000000000002</v>
      </c>
      <c r="M36" s="8">
        <f t="shared" si="3"/>
        <v>13173.3</v>
      </c>
      <c r="N36" s="3" t="s">
        <v>306</v>
      </c>
      <c r="O36" s="2"/>
    </row>
    <row r="37" spans="1:15" x14ac:dyDescent="0.35">
      <c r="A37" s="2" t="s">
        <v>14</v>
      </c>
      <c r="B37" s="2" t="s">
        <v>307</v>
      </c>
      <c r="C37" s="3" t="s">
        <v>308</v>
      </c>
      <c r="D37" s="2" t="s">
        <v>197</v>
      </c>
      <c r="E37" s="2" t="s">
        <v>309</v>
      </c>
      <c r="F37" s="2" t="s">
        <v>310</v>
      </c>
      <c r="G37" s="2" t="s">
        <v>311</v>
      </c>
      <c r="H37" s="2" t="s">
        <v>312</v>
      </c>
      <c r="I37" s="4" t="s">
        <v>313</v>
      </c>
      <c r="J37" s="5">
        <v>5144</v>
      </c>
      <c r="K37" s="6">
        <v>0.19</v>
      </c>
      <c r="L37" s="7">
        <f t="shared" si="2"/>
        <v>977.36</v>
      </c>
      <c r="M37" s="8">
        <f t="shared" si="3"/>
        <v>6121.36</v>
      </c>
      <c r="N37" s="3" t="s">
        <v>314</v>
      </c>
      <c r="O37" s="2"/>
    </row>
    <row r="38" spans="1:15" x14ac:dyDescent="0.35">
      <c r="A38" s="2" t="s">
        <v>43</v>
      </c>
      <c r="B38" s="2" t="s">
        <v>315</v>
      </c>
      <c r="C38" s="3" t="s">
        <v>316</v>
      </c>
      <c r="D38" s="2" t="s">
        <v>317</v>
      </c>
      <c r="E38" s="2" t="s">
        <v>318</v>
      </c>
      <c r="F38" s="2" t="s">
        <v>47</v>
      </c>
      <c r="G38" s="2" t="s">
        <v>319</v>
      </c>
      <c r="H38" s="2" t="s">
        <v>320</v>
      </c>
      <c r="I38" s="4" t="s">
        <v>321</v>
      </c>
      <c r="J38" s="5">
        <v>33334</v>
      </c>
      <c r="K38" s="6">
        <v>0.19</v>
      </c>
      <c r="L38" s="7">
        <f t="shared" si="2"/>
        <v>6333.46</v>
      </c>
      <c r="M38" s="8">
        <f t="shared" si="3"/>
        <v>39667.46</v>
      </c>
      <c r="N38" s="3" t="s">
        <v>322</v>
      </c>
      <c r="O38" s="2"/>
    </row>
    <row r="39" spans="1:15" x14ac:dyDescent="0.35">
      <c r="A39" s="2" t="s">
        <v>14</v>
      </c>
      <c r="B39" s="2" t="s">
        <v>323</v>
      </c>
      <c r="C39" s="3" t="s">
        <v>324</v>
      </c>
      <c r="D39" s="2" t="s">
        <v>325</v>
      </c>
      <c r="E39" s="2" t="s">
        <v>326</v>
      </c>
      <c r="F39" s="2" t="s">
        <v>47</v>
      </c>
      <c r="G39" s="2" t="s">
        <v>327</v>
      </c>
      <c r="H39" s="2" t="s">
        <v>328</v>
      </c>
      <c r="I39" s="4" t="s">
        <v>329</v>
      </c>
      <c r="J39" s="5">
        <v>33362</v>
      </c>
      <c r="K39" s="6">
        <v>0.19</v>
      </c>
      <c r="L39" s="7">
        <f t="shared" si="2"/>
        <v>6338.78</v>
      </c>
      <c r="M39" s="8">
        <f t="shared" si="3"/>
        <v>39700.78</v>
      </c>
      <c r="N39" s="3" t="s">
        <v>330</v>
      </c>
      <c r="O39" s="2"/>
    </row>
    <row r="40" spans="1:15" x14ac:dyDescent="0.35">
      <c r="A40" s="2" t="s">
        <v>52</v>
      </c>
      <c r="B40" s="2" t="s">
        <v>331</v>
      </c>
      <c r="C40" s="3" t="s">
        <v>332</v>
      </c>
      <c r="D40" s="2" t="s">
        <v>333</v>
      </c>
      <c r="E40" s="2" t="s">
        <v>334</v>
      </c>
      <c r="F40" s="2" t="s">
        <v>335</v>
      </c>
      <c r="G40" s="2" t="s">
        <v>336</v>
      </c>
      <c r="H40" s="2" t="s">
        <v>337</v>
      </c>
      <c r="I40" s="4" t="s">
        <v>338</v>
      </c>
      <c r="J40" s="5">
        <v>7556</v>
      </c>
      <c r="K40" s="6">
        <v>0.19</v>
      </c>
      <c r="L40" s="7">
        <f t="shared" si="2"/>
        <v>1435.64</v>
      </c>
      <c r="M40" s="8">
        <f t="shared" si="3"/>
        <v>8991.64</v>
      </c>
      <c r="N40" s="3" t="s">
        <v>339</v>
      </c>
      <c r="O40" s="2"/>
    </row>
    <row r="41" spans="1:15" x14ac:dyDescent="0.35">
      <c r="A41" s="2" t="s">
        <v>43</v>
      </c>
      <c r="B41" s="2" t="s">
        <v>340</v>
      </c>
      <c r="C41" s="3" t="s">
        <v>341</v>
      </c>
      <c r="D41" s="2" t="s">
        <v>342</v>
      </c>
      <c r="E41" s="2" t="s">
        <v>343</v>
      </c>
      <c r="F41" s="2" t="s">
        <v>93</v>
      </c>
      <c r="G41" s="2" t="s">
        <v>344</v>
      </c>
      <c r="H41" s="2" t="s">
        <v>345</v>
      </c>
      <c r="I41" s="4" t="s">
        <v>346</v>
      </c>
      <c r="J41" s="5">
        <v>12268</v>
      </c>
      <c r="K41" s="6">
        <v>0.19</v>
      </c>
      <c r="L41" s="7">
        <f t="shared" si="2"/>
        <v>2330.92</v>
      </c>
      <c r="M41" s="8">
        <f t="shared" si="3"/>
        <v>14598.92</v>
      </c>
      <c r="N41" s="3" t="s">
        <v>347</v>
      </c>
      <c r="O41" s="2"/>
    </row>
    <row r="42" spans="1:15" x14ac:dyDescent="0.35">
      <c r="A42" s="2" t="s">
        <v>43</v>
      </c>
      <c r="B42" s="2" t="s">
        <v>348</v>
      </c>
      <c r="C42" s="3" t="s">
        <v>349</v>
      </c>
      <c r="D42" s="2" t="s">
        <v>350</v>
      </c>
      <c r="E42" s="2" t="s">
        <v>351</v>
      </c>
      <c r="F42" s="2" t="s">
        <v>19</v>
      </c>
      <c r="G42" s="2" t="s">
        <v>352</v>
      </c>
      <c r="H42" s="2" t="s">
        <v>353</v>
      </c>
      <c r="I42" s="4" t="s">
        <v>354</v>
      </c>
      <c r="J42" s="5">
        <v>11097.6</v>
      </c>
      <c r="K42" s="6">
        <v>0.19</v>
      </c>
      <c r="L42" s="7">
        <f t="shared" si="2"/>
        <v>2108.54</v>
      </c>
      <c r="M42" s="8">
        <f t="shared" si="3"/>
        <v>13206.14</v>
      </c>
      <c r="N42" s="3" t="s">
        <v>355</v>
      </c>
      <c r="O42" s="2"/>
    </row>
    <row r="43" spans="1:15" x14ac:dyDescent="0.35">
      <c r="A43" s="2" t="s">
        <v>80</v>
      </c>
      <c r="B43" s="2" t="s">
        <v>356</v>
      </c>
      <c r="C43" s="3" t="s">
        <v>357</v>
      </c>
      <c r="D43" s="2" t="s">
        <v>358</v>
      </c>
      <c r="E43" s="2" t="s">
        <v>359</v>
      </c>
      <c r="F43" s="2" t="s">
        <v>19</v>
      </c>
      <c r="G43" s="2" t="s">
        <v>360</v>
      </c>
      <c r="H43" s="2" t="s">
        <v>361</v>
      </c>
      <c r="I43" s="4" t="s">
        <v>362</v>
      </c>
      <c r="J43" s="5">
        <v>11826</v>
      </c>
      <c r="K43" s="6">
        <v>0.19</v>
      </c>
      <c r="L43" s="7">
        <f t="shared" si="2"/>
        <v>2246.94</v>
      </c>
      <c r="M43" s="8">
        <f t="shared" si="3"/>
        <v>14072.94</v>
      </c>
      <c r="N43" s="3" t="s">
        <v>363</v>
      </c>
      <c r="O43" s="2"/>
    </row>
    <row r="44" spans="1:15" x14ac:dyDescent="0.35">
      <c r="A44" s="2" t="s">
        <v>80</v>
      </c>
      <c r="B44" s="2" t="s">
        <v>364</v>
      </c>
      <c r="C44" s="3" t="s">
        <v>365</v>
      </c>
      <c r="D44" s="2" t="s">
        <v>366</v>
      </c>
      <c r="E44" s="2" t="s">
        <v>367</v>
      </c>
      <c r="F44" s="2" t="s">
        <v>19</v>
      </c>
      <c r="G44" s="2" t="s">
        <v>368</v>
      </c>
      <c r="H44" s="2" t="s">
        <v>369</v>
      </c>
      <c r="I44" s="4" t="s">
        <v>370</v>
      </c>
      <c r="J44" s="5">
        <v>39872</v>
      </c>
      <c r="K44" s="6">
        <v>0.19</v>
      </c>
      <c r="L44" s="7">
        <f t="shared" si="2"/>
        <v>7575.68</v>
      </c>
      <c r="M44" s="8">
        <f t="shared" si="3"/>
        <v>47447.68</v>
      </c>
      <c r="N44" s="3" t="s">
        <v>133</v>
      </c>
      <c r="O44" s="2"/>
    </row>
    <row r="45" spans="1:15" x14ac:dyDescent="0.35">
      <c r="A45" s="2" t="s">
        <v>80</v>
      </c>
      <c r="B45" s="2" t="s">
        <v>371</v>
      </c>
      <c r="C45" s="3" t="s">
        <v>372</v>
      </c>
      <c r="D45" s="2" t="s">
        <v>373</v>
      </c>
      <c r="E45" s="2" t="s">
        <v>374</v>
      </c>
      <c r="F45" s="2" t="s">
        <v>19</v>
      </c>
      <c r="G45" s="2" t="s">
        <v>375</v>
      </c>
      <c r="H45" s="2" t="s">
        <v>376</v>
      </c>
      <c r="I45" s="4" t="s">
        <v>377</v>
      </c>
      <c r="J45" s="5">
        <v>72480</v>
      </c>
      <c r="K45" s="6">
        <v>0.19</v>
      </c>
      <c r="L45" s="7">
        <f t="shared" si="2"/>
        <v>13771.2</v>
      </c>
      <c r="M45" s="8">
        <f t="shared" si="3"/>
        <v>86251.199999999997</v>
      </c>
      <c r="N45" s="3" t="s">
        <v>157</v>
      </c>
      <c r="O45" s="2"/>
    </row>
    <row r="46" spans="1:15" x14ac:dyDescent="0.35">
      <c r="A46" s="2" t="s">
        <v>14</v>
      </c>
      <c r="B46" s="2" t="s">
        <v>378</v>
      </c>
      <c r="C46" s="3" t="s">
        <v>379</v>
      </c>
      <c r="D46" s="2" t="s">
        <v>380</v>
      </c>
      <c r="E46" s="2" t="s">
        <v>381</v>
      </c>
      <c r="F46" s="2" t="s">
        <v>382</v>
      </c>
      <c r="G46" s="2" t="s">
        <v>383</v>
      </c>
      <c r="H46" s="2" t="s">
        <v>384</v>
      </c>
      <c r="I46" s="4" t="s">
        <v>385</v>
      </c>
      <c r="J46" s="5">
        <v>33000</v>
      </c>
      <c r="K46" s="6">
        <v>0.19</v>
      </c>
      <c r="L46" s="7">
        <f t="shared" si="2"/>
        <v>6270</v>
      </c>
      <c r="M46" s="8">
        <f t="shared" si="3"/>
        <v>39270</v>
      </c>
      <c r="N46" s="3" t="s">
        <v>386</v>
      </c>
      <c r="O46" s="2"/>
    </row>
    <row r="47" spans="1:15" x14ac:dyDescent="0.35">
      <c r="A47" s="2" t="s">
        <v>33</v>
      </c>
      <c r="B47" s="2" t="s">
        <v>387</v>
      </c>
      <c r="C47" s="3" t="s">
        <v>388</v>
      </c>
      <c r="D47" s="2" t="s">
        <v>389</v>
      </c>
      <c r="E47" s="2" t="s">
        <v>390</v>
      </c>
      <c r="F47" s="2" t="s">
        <v>391</v>
      </c>
      <c r="G47" s="2" t="s">
        <v>392</v>
      </c>
      <c r="H47" s="2" t="s">
        <v>393</v>
      </c>
      <c r="I47" s="4" t="s">
        <v>394</v>
      </c>
      <c r="J47" s="5">
        <v>35050</v>
      </c>
      <c r="K47" s="6">
        <v>0.19</v>
      </c>
      <c r="L47" s="7">
        <f t="shared" si="2"/>
        <v>6659.5</v>
      </c>
      <c r="M47" s="8">
        <f t="shared" si="3"/>
        <v>41709.5</v>
      </c>
      <c r="N47" s="3" t="s">
        <v>82</v>
      </c>
      <c r="O47" s="2"/>
    </row>
    <row r="48" spans="1:15" x14ac:dyDescent="0.35">
      <c r="A48" s="2" t="s">
        <v>14</v>
      </c>
      <c r="B48" s="2" t="s">
        <v>395</v>
      </c>
      <c r="C48" s="3" t="s">
        <v>396</v>
      </c>
      <c r="D48" s="2" t="s">
        <v>397</v>
      </c>
      <c r="E48" s="2" t="s">
        <v>398</v>
      </c>
      <c r="F48" s="2" t="s">
        <v>19</v>
      </c>
      <c r="G48" s="2" t="s">
        <v>399</v>
      </c>
      <c r="H48" s="2" t="s">
        <v>400</v>
      </c>
      <c r="I48" s="4" t="s">
        <v>401</v>
      </c>
      <c r="J48" s="5">
        <v>93624</v>
      </c>
      <c r="K48" s="6">
        <v>0.19</v>
      </c>
      <c r="L48" s="7">
        <f t="shared" si="2"/>
        <v>17788.560000000001</v>
      </c>
      <c r="M48" s="8">
        <f t="shared" si="3"/>
        <v>111412.56</v>
      </c>
      <c r="N48" s="3" t="s">
        <v>402</v>
      </c>
      <c r="O48" s="2"/>
    </row>
    <row r="49" spans="1:15" x14ac:dyDescent="0.35">
      <c r="A49" s="2" t="s">
        <v>52</v>
      </c>
      <c r="B49" s="2" t="s">
        <v>403</v>
      </c>
      <c r="C49" s="3" t="s">
        <v>404</v>
      </c>
      <c r="D49" s="2" t="s">
        <v>36</v>
      </c>
      <c r="E49" s="2" t="s">
        <v>405</v>
      </c>
      <c r="F49" s="2" t="s">
        <v>93</v>
      </c>
      <c r="G49" s="2" t="s">
        <v>406</v>
      </c>
      <c r="H49" s="2" t="s">
        <v>407</v>
      </c>
      <c r="I49" s="4" t="s">
        <v>408</v>
      </c>
      <c r="J49" s="5">
        <v>7228</v>
      </c>
      <c r="K49" s="6">
        <v>0.19</v>
      </c>
      <c r="L49" s="7">
        <f t="shared" si="2"/>
        <v>1373.32</v>
      </c>
      <c r="M49" s="8">
        <f t="shared" si="3"/>
        <v>8601.32</v>
      </c>
      <c r="N49" s="3" t="s">
        <v>409</v>
      </c>
      <c r="O49" s="2"/>
    </row>
    <row r="50" spans="1:15" x14ac:dyDescent="0.35">
      <c r="A50" s="2" t="s">
        <v>155</v>
      </c>
      <c r="B50" s="2" t="s">
        <v>410</v>
      </c>
      <c r="C50" s="3" t="s">
        <v>411</v>
      </c>
      <c r="D50" s="2" t="s">
        <v>412</v>
      </c>
      <c r="E50" s="2" t="s">
        <v>413</v>
      </c>
      <c r="F50" s="2" t="s">
        <v>414</v>
      </c>
      <c r="G50" s="2" t="s">
        <v>415</v>
      </c>
      <c r="H50" s="2" t="s">
        <v>416</v>
      </c>
      <c r="I50" s="4" t="s">
        <v>417</v>
      </c>
      <c r="J50" s="5">
        <v>24384</v>
      </c>
      <c r="K50" s="6">
        <v>0.19</v>
      </c>
      <c r="L50" s="7">
        <f t="shared" si="2"/>
        <v>4632.96</v>
      </c>
      <c r="M50" s="8">
        <f t="shared" si="3"/>
        <v>29016.959999999999</v>
      </c>
      <c r="N50" s="3" t="s">
        <v>418</v>
      </c>
      <c r="O50" s="2"/>
    </row>
    <row r="51" spans="1:15" x14ac:dyDescent="0.35">
      <c r="A51" s="2" t="s">
        <v>62</v>
      </c>
      <c r="B51" s="2" t="s">
        <v>419</v>
      </c>
      <c r="C51" s="3" t="s">
        <v>420</v>
      </c>
      <c r="D51" s="2" t="s">
        <v>421</v>
      </c>
      <c r="E51" s="2" t="s">
        <v>422</v>
      </c>
      <c r="F51" s="2" t="s">
        <v>38</v>
      </c>
      <c r="G51" s="2" t="s">
        <v>423</v>
      </c>
      <c r="H51" s="2" t="s">
        <v>424</v>
      </c>
      <c r="I51" s="4" t="s">
        <v>425</v>
      </c>
      <c r="J51" s="5">
        <v>40400</v>
      </c>
      <c r="K51" s="6">
        <v>0.19</v>
      </c>
      <c r="L51" s="7">
        <f t="shared" si="2"/>
        <v>7676</v>
      </c>
      <c r="M51" s="8">
        <f t="shared" si="3"/>
        <v>48076</v>
      </c>
      <c r="N51" s="3" t="s">
        <v>426</v>
      </c>
      <c r="O51" s="2"/>
    </row>
    <row r="52" spans="1:15" x14ac:dyDescent="0.35">
      <c r="I52" s="9" t="s">
        <v>427</v>
      </c>
      <c r="J52" s="10">
        <f>SUM(J2:J51)</f>
        <v>1463649.35</v>
      </c>
      <c r="L52" s="10">
        <f>SUM(L2:L51)</f>
        <v>278093.38</v>
      </c>
      <c r="M52" s="10">
        <f>SUM(M2:M51)</f>
        <v>1741742.7300000002</v>
      </c>
    </row>
    <row r="55" spans="1:15" x14ac:dyDescent="0.35">
      <c r="A55" s="11" t="s">
        <v>428</v>
      </c>
    </row>
    <row r="56" spans="1:15" x14ac:dyDescent="0.35">
      <c r="A56" s="12" t="s">
        <v>429</v>
      </c>
    </row>
    <row r="57" spans="1:15" x14ac:dyDescent="0.35">
      <c r="A57" s="13" t="s">
        <v>430</v>
      </c>
    </row>
    <row r="58" spans="1:15" x14ac:dyDescent="0.35">
      <c r="A58" s="14" t="s">
        <v>431</v>
      </c>
    </row>
  </sheetData>
  <autoFilter ref="A1:O51" xr:uid="{00000000-0009-0000-0000-000000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docMetadata/LabelInfo.xml><?xml version="1.0" encoding="utf-8"?>
<clbl:labelList xmlns:clbl="http://schemas.microsoft.com/office/2020/mipLabelMetadata">
  <clbl:label id="{b0078d80-d8fa-41c0-a03d-2fc8bfbf8ef3}" enabled="1" method="Standard" siteId="{1a5fb97d-e8d3-49e2-b059-92746ee77d8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Rechnungsuebersicht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Verclas, Leonard (F&amp;Co.)</cp:lastModifiedBy>
  <cp:revision>0</cp:revision>
  <dcterms:created xsi:type="dcterms:W3CDTF">2026-09-07T07:20:57Z</dcterms:created>
  <dcterms:modified xsi:type="dcterms:W3CDTF">2026-09-09T11:27:01Z</dcterms:modified>
  <dc:language>en-US</dc:language>
</cp:coreProperties>
</file>