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fgroup-my.sharepoint.com/personal/leonard_verclas_freudenberg_com/Documents/02_Studium_DHBW/PA 2/Projektarbeit_2/"/>
    </mc:Choice>
  </mc:AlternateContent>
  <xr:revisionPtr revIDLastSave="0" documentId="11_C236E29A148D72B1158823B4D6A8493DBF6A7C8B" xr6:coauthVersionLast="47" xr6:coauthVersionMax="47" xr10:uidLastSave="{00000000-0000-0000-0000-000000000000}"/>
  <bookViews>
    <workbookView minimized="1" xWindow="2250" yWindow="1920" windowWidth="21600" windowHeight="12525" tabRatio="500" xr2:uid="{00000000-000D-0000-FFFF-FFFF00000000}"/>
  </bookViews>
  <sheets>
    <sheet name="Rechnungsuebersicht" sheetId="1" r:id="rId1"/>
  </sheets>
  <definedNames>
    <definedName name="_xlnm._FilterDatabase" localSheetId="0" hidden="1">Rechnungsuebersicht!$A$1:$O$101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102" i="1" l="1"/>
  <c r="J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4" i="1"/>
  <c r="L4" i="1"/>
  <c r="M3" i="1"/>
  <c r="L3" i="1"/>
  <c r="M2" i="1"/>
  <c r="M102" i="1" s="1"/>
  <c r="L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N7" authorId="0" shapeId="0" xr:uid="{00000000-0006-0000-0000-000001000000}">
      <text>
        <r>
          <rPr>
            <sz val="10"/>
            <rFont val="Arial"/>
            <family val="2"/>
          </rPr>
          <t>Fälligkeit betrifft nur den Restbetrag - 50 % waren bereits als Anzahlung fällig.</t>
        </r>
      </text>
    </comment>
  </commentList>
</comments>
</file>

<file path=xl/sharedStrings.xml><?xml version="1.0" encoding="utf-8"?>
<sst xmlns="http://schemas.openxmlformats.org/spreadsheetml/2006/main" count="1119" uniqueCount="875">
  <si>
    <t>Kundenname (Leistungsempfaenger)</t>
  </si>
  <si>
    <t>Rechnungsnummer</t>
  </si>
  <si>
    <t>Rechnungsdatum</t>
  </si>
  <si>
    <t>Leistungszeitraum / -datum</t>
  </si>
  <si>
    <t>Kundennummer</t>
  </si>
  <si>
    <t>Referenz-Art</t>
  </si>
  <si>
    <t>Referenznummer</t>
  </si>
  <si>
    <t>Lieferant / Rechnungssteller</t>
  </si>
  <si>
    <t>Leistungsbeschreibung</t>
  </si>
  <si>
    <t>Nettobetrag</t>
  </si>
  <si>
    <t>Steuersatz</t>
  </si>
  <si>
    <t>USt-Betrag</t>
  </si>
  <si>
    <t>Rechnungsbetrag (brutto)</t>
  </si>
  <si>
    <t>Faelligkeit</t>
  </si>
  <si>
    <t>Dateiname</t>
  </si>
  <si>
    <t>Freudenberg &amp; Co. Kommanditgesellschaft</t>
  </si>
  <si>
    <t>RE-2026-047382</t>
  </si>
  <si>
    <t>14.08.2026</t>
  </si>
  <si>
    <t>01.08.2026 - 31.08.2026</t>
  </si>
  <si>
    <t>KD-100248</t>
  </si>
  <si>
    <t>Bestellnummer</t>
  </si>
  <si>
    <t>PO-FBG-2026-3391</t>
  </si>
  <si>
    <t>Nordlicht IT Solutions GmbH</t>
  </si>
  <si>
    <t>Microsoft Copilot Premium Abonnement (Softwarelizenzen)</t>
  </si>
  <si>
    <t>28.08.2026</t>
  </si>
  <si>
    <t>01_Rechnung_Copilot.pdf</t>
  </si>
  <si>
    <t>2026-B-14872</t>
  </si>
  <si>
    <t>03.03.2026</t>
  </si>
  <si>
    <t>27.02.2026 (Leistungsdatum)</t>
  </si>
  <si>
    <t>K-40182</t>
  </si>
  <si>
    <t>Lieferschein</t>
  </si>
  <si>
    <t>LS-2026-0912</t>
  </si>
  <si>
    <t>Kontorwerk Bürobedarf GmbH</t>
  </si>
  <si>
    <t>Büromaterial und Druckerzubehör</t>
  </si>
  <si>
    <t>17.03.2026</t>
  </si>
  <si>
    <t>02_Rechnung_Bueromaterial.pdf</t>
  </si>
  <si>
    <t>Freudenberg IT SE &amp; Co. KG</t>
  </si>
  <si>
    <t>RE-2026-0221</t>
  </si>
  <si>
    <t>31.05.2026</t>
  </si>
  <si>
    <t>01.05.2026 - 31.05.2026</t>
  </si>
  <si>
    <t>C-2210</t>
  </si>
  <si>
    <t>Projekt</t>
  </si>
  <si>
    <t>S/4HANA Rollout Phase 2</t>
  </si>
  <si>
    <t>Kestner Consulting GmbH</t>
  </si>
  <si>
    <t>IT-Beratung (S/4HANA Rollout Phase 2)</t>
  </si>
  <si>
    <t>30.06.2026</t>
  </si>
  <si>
    <t>03_RechnungIT_Beratung.pdf</t>
  </si>
  <si>
    <t>Freudenberg Sealing Technologies GmbH &amp; Co. KG</t>
  </si>
  <si>
    <t>WA-26-00745</t>
  </si>
  <si>
    <t>12.04.2026</t>
  </si>
  <si>
    <t>08.04.2026 (Leistungsdatum)</t>
  </si>
  <si>
    <t>Auftragsnummer</t>
  </si>
  <si>
    <t>A-2026-0331</t>
  </si>
  <si>
    <t>Südwest Klimatechnik GmbH</t>
  </si>
  <si>
    <t>Wartung Klima- und Lüftungstechnik</t>
  </si>
  <si>
    <t>03.05.2026</t>
  </si>
  <si>
    <t>04_Rechnung_Wartung_Klimatechnik.pdf</t>
  </si>
  <si>
    <t>Freudenberg Filtration Technologies SE &amp; Co. KG</t>
  </si>
  <si>
    <t>SP-2026-118934</t>
  </si>
  <si>
    <t>28.06.2026</t>
  </si>
  <si>
    <t>15.06.2026 - 26.06.2026</t>
  </si>
  <si>
    <t>70441</t>
  </si>
  <si>
    <t>Sendungen</t>
  </si>
  <si>
    <t>14 Aufträge</t>
  </si>
  <si>
    <t>Rheinlogistik Spedition GmbH</t>
  </si>
  <si>
    <t>Frachtkosten Spedition</t>
  </si>
  <si>
    <t>12.07.2026</t>
  </si>
  <si>
    <t>05_Rechnung_Spedition.pdf</t>
  </si>
  <si>
    <t>Freudenberg Home and Cleaning Solutions GmbH</t>
  </si>
  <si>
    <t>2026/MB/0417</t>
  </si>
  <si>
    <t>22.05.2026</t>
  </si>
  <si>
    <t>11.05.2026 - 15.05.2026</t>
  </si>
  <si>
    <t>HM-1188</t>
  </si>
  <si>
    <t>Veranstaltung</t>
  </si>
  <si>
    <t>IFAT München 2026</t>
  </si>
  <si>
    <t>Hellwig Messe &amp; Event GmbH</t>
  </si>
  <si>
    <t>Messestand und Werbemittel (IFAT München 2026)</t>
  </si>
  <si>
    <t>12.06.2026</t>
  </si>
  <si>
    <t>06_Rechnung_Messebau.pdf</t>
  </si>
  <si>
    <t>SEM-2026-0093</t>
  </si>
  <si>
    <t>17.02.2026</t>
  </si>
  <si>
    <t>09.02.2026 - 11.02.2026</t>
  </si>
  <si>
    <t>AN-3307</t>
  </si>
  <si>
    <t>Buchungsnummer</t>
  </si>
  <si>
    <t>B-2026-0451</t>
  </si>
  <si>
    <t>Akademie Neckartal GmbH</t>
  </si>
  <si>
    <t>Schulung und Weiterbildung (Inhouse-Seminar)</t>
  </si>
  <si>
    <t>07_Rechnung_Weiterbildung.pdf</t>
  </si>
  <si>
    <t>Freudenberg Performance Materials Holding SE</t>
  </si>
  <si>
    <t>L-2026-55218</t>
  </si>
  <si>
    <t>09.07.2026</t>
  </si>
  <si>
    <t>07.07.2026 (Leistungsdatum)</t>
  </si>
  <si>
    <t>50913</t>
  </si>
  <si>
    <t>PO-2026-11884</t>
  </si>
  <si>
    <t>Bergmann Technischer Handel GmbH</t>
  </si>
  <si>
    <t>Industriebedarf und Normteile</t>
  </si>
  <si>
    <t>23.07.2026</t>
  </si>
  <si>
    <t>08_Rechnung.pdf</t>
  </si>
  <si>
    <t>GR-2026-0431</t>
  </si>
  <si>
    <t>01.04.2026</t>
  </si>
  <si>
    <t>01.03.2026 - 31.03.2026</t>
  </si>
  <si>
    <t>KW-2044</t>
  </si>
  <si>
    <t>Vertrag</t>
  </si>
  <si>
    <t>RV-2024-77</t>
  </si>
  <si>
    <t>Klarwerk Gebäudedienste GmbH</t>
  </si>
  <si>
    <t>Gebäudereinigung</t>
  </si>
  <si>
    <t>01.05.2026</t>
  </si>
  <si>
    <t>09_Rechnung_Gebaeudereinigung.pdf</t>
  </si>
  <si>
    <t>RG-2026-3387</t>
  </si>
  <si>
    <t>19.01.2026</t>
  </si>
  <si>
    <t>16.01.2026 (Leistungsdatum)</t>
  </si>
  <si>
    <t>DC-6621</t>
  </si>
  <si>
    <t>Angebot</t>
  </si>
  <si>
    <t>AN-2025-4471</t>
  </si>
  <si>
    <t>Datacore Systemhaus AG</t>
  </si>
  <si>
    <t>Netzwerkhardware und Installation</t>
  </si>
  <si>
    <t>08.02.2026</t>
  </si>
  <si>
    <t>10_Rechnung_Netzwerktechnik.pdf</t>
  </si>
  <si>
    <t>ZA-2026-2205</t>
  </si>
  <si>
    <t>06.08.2026</t>
  </si>
  <si>
    <t>20.07.2026 - 02.08.2026</t>
  </si>
  <si>
    <t>OP-1140</t>
  </si>
  <si>
    <t>Überlassung</t>
  </si>
  <si>
    <t>KW 30 und 31</t>
  </si>
  <si>
    <t>Odenwald Personalservice GmbH</t>
  </si>
  <si>
    <t>Personaldienstleistung (Zeitarbeit)</t>
  </si>
  <si>
    <t>16.08.2026</t>
  </si>
  <si>
    <t>11_Rechnung_Zeitarbeit.pdf</t>
  </si>
  <si>
    <t>SR-2026-884102</t>
  </si>
  <si>
    <t>05.02.2026</t>
  </si>
  <si>
    <t>01.01.2026 - 31.01.2026 (Abrechnungszeitraum)</t>
  </si>
  <si>
    <t>V-880412</t>
  </si>
  <si>
    <t>Zählernummer</t>
  </si>
  <si>
    <t>1EMH0071842366</t>
  </si>
  <si>
    <t>Rhein-Neckar Energie AG</t>
  </si>
  <si>
    <t>Stromlieferung Werk 2</t>
  </si>
  <si>
    <t>26.02.2026</t>
  </si>
  <si>
    <t>12_Rechnung_Stromlieferung_SR-2026-884102.pdf</t>
  </si>
  <si>
    <t>TG-26-004417</t>
  </si>
  <si>
    <t>09.03.2026</t>
  </si>
  <si>
    <t>01.02.2026 - 28.02.2026 (Abrechnungszeitraum)</t>
  </si>
  <si>
    <t>80014</t>
  </si>
  <si>
    <t>Vertragskonto</t>
  </si>
  <si>
    <t>VK-4471209</t>
  </si>
  <si>
    <t>Terragas Versorgung GmbH</t>
  </si>
  <si>
    <t>Erdgaslieferung</t>
  </si>
  <si>
    <t>23.03.2026</t>
  </si>
  <si>
    <t>13_Rechnung_Erdgaslieferung_TG-26-004417.pdf</t>
  </si>
  <si>
    <t>KT-2026-77219</t>
  </si>
  <si>
    <t>9911472</t>
  </si>
  <si>
    <t>Rahmenvertrag</t>
  </si>
  <si>
    <t>RV-MOB-2024</t>
  </si>
  <si>
    <t>Konnex Telekom GmbH</t>
  </si>
  <si>
    <t>Telekommunikation Mobilfunk</t>
  </si>
  <si>
    <t>15.04.2026</t>
  </si>
  <si>
    <t>14_Rechnung_Telekommunikation_KT-2026-77219.pdf</t>
  </si>
  <si>
    <t>CU-2026-0318</t>
  </si>
  <si>
    <t>02.04.2026</t>
  </si>
  <si>
    <t>KUN-3312</t>
  </si>
  <si>
    <t>BK-2023-09</t>
  </si>
  <si>
    <t>Culina Betriebsgastronomie GmbH</t>
  </si>
  <si>
    <t>Kantinenbewirtschaftung</t>
  </si>
  <si>
    <t>02.05.2026</t>
  </si>
  <si>
    <t>15_Rechnung_Kantinenbewirtschaftung_CU-2026-0318.pdf</t>
  </si>
  <si>
    <t>WF-26-1180</t>
  </si>
  <si>
    <t>16.03.2026</t>
  </si>
  <si>
    <t>13.03.2026 (Leistungsdatum)</t>
  </si>
  <si>
    <t>22014</t>
  </si>
  <si>
    <t>PO-2026-10442</t>
  </si>
  <si>
    <t>Werkfein Präzisionstechnik GmbH</t>
  </si>
  <si>
    <t>Lohnfertigung Drehteile</t>
  </si>
  <si>
    <t>16_Rechnung_Lohnfertigung_WF-26-1180.pdf</t>
  </si>
  <si>
    <t>Freudenberg Medical Europe GmbH</t>
  </si>
  <si>
    <t>ML-2026-0642</t>
  </si>
  <si>
    <t>21.04.2026</t>
  </si>
  <si>
    <t>17.04.2026 (Leistungsdatum)</t>
  </si>
  <si>
    <t>MT-1180</t>
  </si>
  <si>
    <t>A-26-3391</t>
  </si>
  <si>
    <t>Metrolab Kalibrierservice GmbH</t>
  </si>
  <si>
    <t>Kalibrierung Messmittel</t>
  </si>
  <si>
    <t>12.05.2026</t>
  </si>
  <si>
    <t>17_Rechnung_Kalibrierung_ML-2026-0642.pdf</t>
  </si>
  <si>
    <t>RE-26-5518</t>
  </si>
  <si>
    <t>04.05.2026</t>
  </si>
  <si>
    <t>01.04.2026 - 30.04.2026</t>
  </si>
  <si>
    <t>E-7702</t>
  </si>
  <si>
    <t>Entsorgungsnachweis</t>
  </si>
  <si>
    <t>EN-2026-0117</t>
  </si>
  <si>
    <t>Reko Entsorgung GmbH</t>
  </si>
  <si>
    <t>Abfallentsorgung</t>
  </si>
  <si>
    <t>18.05.2026</t>
  </si>
  <si>
    <t>18_Rechnung_Abfallentsorgung_RE-26-5518.pdf</t>
  </si>
  <si>
    <t>TX-2026-0904</t>
  </si>
  <si>
    <t>07.05.2026</t>
  </si>
  <si>
    <t>T-4021</t>
  </si>
  <si>
    <t>MS-2022-14</t>
  </si>
  <si>
    <t>Textilis Berufskleidung GmbH</t>
  </si>
  <si>
    <t>Berufskleidung Mietservice</t>
  </si>
  <si>
    <t>28.05.2026</t>
  </si>
  <si>
    <t>19_Rechnung_Berufskleidung_TX-2026-0904.pdf</t>
  </si>
  <si>
    <t>AF-2026-11204</t>
  </si>
  <si>
    <t>01.06.2026</t>
  </si>
  <si>
    <t>01.06.2026 - 30.06.2026</t>
  </si>
  <si>
    <t>FP-2210</t>
  </si>
  <si>
    <t>LV-2025-08</t>
  </si>
  <si>
    <t>Autoflott Leasing GmbH</t>
  </si>
  <si>
    <t>Fuhrpark Leasingraten</t>
  </si>
  <si>
    <t>11.06.2026</t>
  </si>
  <si>
    <t>20_Rechnung_Fuhrpark_AF-2026-11204.pdf</t>
  </si>
  <si>
    <t>HO-2026-2288</t>
  </si>
  <si>
    <t>08.06.2026 - 10.06.2026</t>
  </si>
  <si>
    <t>G-1140</t>
  </si>
  <si>
    <t>Reservierung</t>
  </si>
  <si>
    <t>RES-88214</t>
  </si>
  <si>
    <t>Bergstraße Tagungshotel GmbH</t>
  </si>
  <si>
    <t>Tagung und Übernachtungen</t>
  </si>
  <si>
    <t>26.06.2026</t>
  </si>
  <si>
    <t>21_Rechnung_Tagung_HO-2026-2288.pdf</t>
  </si>
  <si>
    <t>LX-2026-0331</t>
  </si>
  <si>
    <t>01.04.2026 - 30.06.2026</t>
  </si>
  <si>
    <t>M-2026-114</t>
  </si>
  <si>
    <t>Mandat</t>
  </si>
  <si>
    <t>Lieferantenrahmenverträge</t>
  </si>
  <si>
    <t>Lexara Rechtsanwälte PartG mbB</t>
  </si>
  <si>
    <t>Rechtsberatung Vertragsrecht</t>
  </si>
  <si>
    <t>21.07.2026</t>
  </si>
  <si>
    <t>22_Rechnung_Rechtsberatung_LX-2026-0331.pdf</t>
  </si>
  <si>
    <t>KWP-2026-0088</t>
  </si>
  <si>
    <t>20.03.2026</t>
  </si>
  <si>
    <t>12.01.2026 - 06.03.2026</t>
  </si>
  <si>
    <t>WP-0042</t>
  </si>
  <si>
    <t>Auftrag</t>
  </si>
  <si>
    <t>JA-2025</t>
  </si>
  <si>
    <t>Konsul Wirtschaftsprüfung GmbH</t>
  </si>
  <si>
    <t>Jahresabschlussprüfung</t>
  </si>
  <si>
    <t>19.04.2026</t>
  </si>
  <si>
    <t>23_Rechnung_Jahresabschlusspruefung_KWP-2026-0088.pdf</t>
  </si>
  <si>
    <t>PA-26-0417</t>
  </si>
  <si>
    <t>11.05.2026</t>
  </si>
  <si>
    <t>06.05.2026 (Leistungsdatum)</t>
  </si>
  <si>
    <t>P-2019</t>
  </si>
  <si>
    <t>Aktenzeichen</t>
  </si>
  <si>
    <t>DE 10 2026 004 118</t>
  </si>
  <si>
    <t>Patentis Patentanwälte</t>
  </si>
  <si>
    <t>Patentanmeldung</t>
  </si>
  <si>
    <t>24_Rechnung_Patentanmeldung_PA-26-0417.pdf</t>
  </si>
  <si>
    <t>LU-2026-1442</t>
  </si>
  <si>
    <t>24.04.2026</t>
  </si>
  <si>
    <t>22.04.2026 (Leistungsdatum)</t>
  </si>
  <si>
    <t>L-8802</t>
  </si>
  <si>
    <t>Betriebsanleitung Vliesanlage</t>
  </si>
  <si>
    <t>Lingua Fachübersetzungen GmbH</t>
  </si>
  <si>
    <t>Fachübersetzungen</t>
  </si>
  <si>
    <t>08.05.2026</t>
  </si>
  <si>
    <t>25_Rechnung_Fachuebersetzungen_LU-2026-1442.pdf</t>
  </si>
  <si>
    <t>OD-2026-3390</t>
  </si>
  <si>
    <t>15.05.2026 (Leistungsdatum)</t>
  </si>
  <si>
    <t>D-5511</t>
  </si>
  <si>
    <t>AU-26-8841</t>
  </si>
  <si>
    <t>Offset Druck Rhein-Main GmbH</t>
  </si>
  <si>
    <t>Katalogdruck</t>
  </si>
  <si>
    <t>26_Rechnung_Katalogdruck_OD-2026-3390.pdf</t>
  </si>
  <si>
    <t>PW-2026-0221</t>
  </si>
  <si>
    <t>29.06.2026</t>
  </si>
  <si>
    <t>02.03.2026 - 26.06.2026</t>
  </si>
  <si>
    <t>PX-3040</t>
  </si>
  <si>
    <t>Relaunch Markenauftritt</t>
  </si>
  <si>
    <t>Pixelwerk Digitalagentur GmbH</t>
  </si>
  <si>
    <t>Website-Relaunch</t>
  </si>
  <si>
    <t>20.07.2026</t>
  </si>
  <si>
    <t>27_Rechnung_Website-Relaunch_PW-2026-0221.pdf</t>
  </si>
  <si>
    <t>CS-2026-0771</t>
  </si>
  <si>
    <t>15.01.2026</t>
  </si>
  <si>
    <t>01.02.2026 - 31.01.2027</t>
  </si>
  <si>
    <t>CS-1024</t>
  </si>
  <si>
    <t>AN-2025-9912</t>
  </si>
  <si>
    <t>CADsoft Vertriebs GmbH</t>
  </si>
  <si>
    <t>CAD-Softwarelizenzen</t>
  </si>
  <si>
    <t>14.02.2026</t>
  </si>
  <si>
    <t>28_Rechnung_CAD-Softwarelizenzen_CS-2026-0771.pdf</t>
  </si>
  <si>
    <t>NC-2026-08841</t>
  </si>
  <si>
    <t>01.07.2026</t>
  </si>
  <si>
    <t>NC-7781</t>
  </si>
  <si>
    <t>SLA-2024-06</t>
  </si>
  <si>
    <t>Nordcloud Hosting GmbH</t>
  </si>
  <si>
    <t>Cloud-Hosting</t>
  </si>
  <si>
    <t>15.07.2026</t>
  </si>
  <si>
    <t>29_Rechnung_Cloud-Hosting_NC-2026-08841.pdf</t>
  </si>
  <si>
    <t>SK-2026-0455</t>
  </si>
  <si>
    <t>01.02.2026 - 28.02.2026</t>
  </si>
  <si>
    <t>SK-9012</t>
  </si>
  <si>
    <t>WS-2023-11</t>
  </si>
  <si>
    <t>Sekurit Werkschutz GmbH</t>
  </si>
  <si>
    <t>Werkschutz und Pforte</t>
  </si>
  <si>
    <t>24.03.2026</t>
  </si>
  <si>
    <t>30_Rechnung_Werkschutz_SK-2026-0455.pdf</t>
  </si>
  <si>
    <t>HT-26-2214</t>
  </si>
  <si>
    <t>08.04.2026</t>
  </si>
  <si>
    <t>H-3388</t>
  </si>
  <si>
    <t>Mietvertrag</t>
  </si>
  <si>
    <t>MV-2025-41</t>
  </si>
  <si>
    <t>Hebetec Flurförderzeuge GmbH</t>
  </si>
  <si>
    <t>Staplermiete und Wartung</t>
  </si>
  <si>
    <t>29.04.2026</t>
  </si>
  <si>
    <t>31_Rechnung_Staplermiete_HT-26-2214.pdf</t>
  </si>
  <si>
    <t>PX-2026-6612</t>
  </si>
  <si>
    <t>26.05.2026</t>
  </si>
  <si>
    <t>22.05.2026 (Leistungsdatum)</t>
  </si>
  <si>
    <t>50771</t>
  </si>
  <si>
    <t>PO-2026-12204</t>
  </si>
  <si>
    <t>Palux Verpackungen GmbH</t>
  </si>
  <si>
    <t>Transportverpackungen</t>
  </si>
  <si>
    <t>09.06.2026</t>
  </si>
  <si>
    <t>32_Rechnung_Transportverpackungen_PX-2026-6612.pdf</t>
  </si>
  <si>
    <t>CL-2026-4471</t>
  </si>
  <si>
    <t>13.02.2026</t>
  </si>
  <si>
    <t>11.02.2026 (Leistungsdatum)</t>
  </si>
  <si>
    <t>CL-6620</t>
  </si>
  <si>
    <t>PO-2026-09117</t>
  </si>
  <si>
    <t>Chemlab Laborbedarf GmbH</t>
  </si>
  <si>
    <t>Laborbedarf und Chemikalien</t>
  </si>
  <si>
    <t>06.03.2026</t>
  </si>
  <si>
    <t>33_Rechnung_Laborbedarf_CL-2026-4471.pdf</t>
  </si>
  <si>
    <t>MP-2026-0993</t>
  </si>
  <si>
    <t>19.06.2026</t>
  </si>
  <si>
    <t>15.06.2026 (Leistungsdatum)</t>
  </si>
  <si>
    <t>MA-4410</t>
  </si>
  <si>
    <t>Prüfbericht</t>
  </si>
  <si>
    <t>PB-2026-0771</t>
  </si>
  <si>
    <t>Materia Prüflabor GmbH</t>
  </si>
  <si>
    <t>Materialprüfung</t>
  </si>
  <si>
    <t>03.07.2026</t>
  </si>
  <si>
    <t>34_Rechnung_Materialpruefung_MP-2026-0993.pdf</t>
  </si>
  <si>
    <t>CZ-2026-0208</t>
  </si>
  <si>
    <t>27.03.2026</t>
  </si>
  <si>
    <t>23.03.2026 - 25.03.2026</t>
  </si>
  <si>
    <t>CZ-1177</t>
  </si>
  <si>
    <t>Zertifikat</t>
  </si>
  <si>
    <t>ISO 9001:2015</t>
  </si>
  <si>
    <t>Certum Zertifizierung GmbH</t>
  </si>
  <si>
    <t>ISO-Zertifizierungsaudit</t>
  </si>
  <si>
    <t>26.04.2026</t>
  </si>
  <si>
    <t>35_Rechnung_ISO-Zertifizierungsaudit_CZ-2026-0208.pdf</t>
  </si>
  <si>
    <t>VA-2026-0771</t>
  </si>
  <si>
    <t>06.07.2026</t>
  </si>
  <si>
    <t>VA-2288</t>
  </si>
  <si>
    <t>Wartungsvertrag</t>
  </si>
  <si>
    <t>WV-2021-17</t>
  </si>
  <si>
    <t>Vertikal Aufzugservice GmbH</t>
  </si>
  <si>
    <t>Aufzugswartung</t>
  </si>
  <si>
    <t>27.07.2026</t>
  </si>
  <si>
    <t>36_Rechnung_Aufzugswartung_VA-2026-0771.pdf</t>
  </si>
  <si>
    <t>VE-2026-1188</t>
  </si>
  <si>
    <t>23.05.2026</t>
  </si>
  <si>
    <t>04.05.2026 - 20.05.2026</t>
  </si>
  <si>
    <t>VM-1409</t>
  </si>
  <si>
    <t>A-2026-0774</t>
  </si>
  <si>
    <t>Voltmann Elektrotechnik GmbH</t>
  </si>
  <si>
    <t>Elektroinstallation Halle D</t>
  </si>
  <si>
    <t>13.06.2026</t>
  </si>
  <si>
    <t>37_Rechnung_Elektroinstallation_VE-2026-1188.pdf</t>
  </si>
  <si>
    <t>FW-26-0339</t>
  </si>
  <si>
    <t>17.07.2026</t>
  </si>
  <si>
    <t>29.06.2026 - 14.07.2026</t>
  </si>
  <si>
    <t>FW-880</t>
  </si>
  <si>
    <t>A-26-1102</t>
  </si>
  <si>
    <t>Farbwerk Malerbetrieb GmbH</t>
  </si>
  <si>
    <t>Malerarbeiten Verwaltungsgebäude</t>
  </si>
  <si>
    <t>07.08.2026</t>
  </si>
  <si>
    <t>38_Rechnung_Malerarbeiten_FW-26-0339.pdf</t>
  </si>
  <si>
    <t>GW-2026-0512</t>
  </si>
  <si>
    <t>05.08.2026</t>
  </si>
  <si>
    <t>01.07.2026 - 31.07.2026</t>
  </si>
  <si>
    <t>GW-2255</t>
  </si>
  <si>
    <t>Pflegevertrag</t>
  </si>
  <si>
    <t>PV-2024-03</t>
  </si>
  <si>
    <t>Grünwerk Gartenpflege GmbH</t>
  </si>
  <si>
    <t>Pflege der Außenanlagen</t>
  </si>
  <si>
    <t>19.08.2026</t>
  </si>
  <si>
    <t>39_Rechnung_Pflege_GW-2026-0512.pdf</t>
  </si>
  <si>
    <t>WD-2026-0044</t>
  </si>
  <si>
    <t>02.02.2026</t>
  </si>
  <si>
    <t>01.01.2026 - 31.01.2026</t>
  </si>
  <si>
    <t>WF-1180</t>
  </si>
  <si>
    <t>WD-2025-09</t>
  </si>
  <si>
    <t>Winterfest Dienstleistungen GmbH</t>
  </si>
  <si>
    <t>Winterdienst</t>
  </si>
  <si>
    <t>16.02.2026</t>
  </si>
  <si>
    <t>40_Rechnung_Winterdienst_WD-2026-0044.pdf</t>
  </si>
  <si>
    <t>ST-2026-7719</t>
  </si>
  <si>
    <t>10.06.2026</t>
  </si>
  <si>
    <t>08.06.2026 (Leistungsdatum)</t>
  </si>
  <si>
    <t>51204</t>
  </si>
  <si>
    <t>PO-2026-11907</t>
  </si>
  <si>
    <t>Sensotec Messtechnik GmbH</t>
  </si>
  <si>
    <t>Messtechnik Ersatzteile</t>
  </si>
  <si>
    <t>10.07.2026</t>
  </si>
  <si>
    <t>41_Rechnung_Messtechnik_ST-2026-7719.pdf</t>
  </si>
  <si>
    <t>HF-26-3308</t>
  </si>
  <si>
    <t>14.07.2026</t>
  </si>
  <si>
    <t>10.07.2026 (Leistungsdatum)</t>
  </si>
  <si>
    <t>50442</t>
  </si>
  <si>
    <t>PO-2026-12771</t>
  </si>
  <si>
    <t>Hydroflex Schlauchtechnik GmbH</t>
  </si>
  <si>
    <t>Hydraulikschläuche und Armaturen</t>
  </si>
  <si>
    <t>28.07.2026</t>
  </si>
  <si>
    <t>42_Rechnung_Hydraulikschlaeuche_HF-26-3308.pdf</t>
  </si>
  <si>
    <t>SK-2026-88117</t>
  </si>
  <si>
    <t>21.02.2026</t>
  </si>
  <si>
    <t>18.02.2026 (Leistungsdatum)</t>
  </si>
  <si>
    <t>50881</t>
  </si>
  <si>
    <t>PO-2026-09884</t>
  </si>
  <si>
    <t>Stahlkontor Südwest GmbH</t>
  </si>
  <si>
    <t>Stahlblech Rohmaterial</t>
  </si>
  <si>
    <t>43_Rechnung_Stahlblech_SK-2026-88117.pdf</t>
  </si>
  <si>
    <t>PM-2026-5504</t>
  </si>
  <si>
    <t>31.03.2026</t>
  </si>
  <si>
    <t>27.03.2026 (Leistungsdatum)</t>
  </si>
  <si>
    <t>50993</t>
  </si>
  <si>
    <t>PO-2026-10118</t>
  </si>
  <si>
    <t>Polymera Kunststoffhandel GmbH</t>
  </si>
  <si>
    <t>Kunststoffgranulat</t>
  </si>
  <si>
    <t>44_Rechnung_Kunststoffgranulat_PM-2026-5504.pdf</t>
  </si>
  <si>
    <t>AS-2026-0117</t>
  </si>
  <si>
    <t>08.01.2026</t>
  </si>
  <si>
    <t>01.01.2026 - 31.12.2026 (Versicherungsperiode)</t>
  </si>
  <si>
    <t>AS-3311</t>
  </si>
  <si>
    <t>Policennummer</t>
  </si>
  <si>
    <t>TV-2026-448120</t>
  </si>
  <si>
    <t>Assekur Industriemakler GmbH</t>
  </si>
  <si>
    <t>Transportversicherung</t>
  </si>
  <si>
    <t>07.02.2026</t>
  </si>
  <si>
    <t>45_Rechnung_Transportversicherung_AS-2026-0117.pdf</t>
  </si>
  <si>
    <t>TA-2026-0662</t>
  </si>
  <si>
    <t>25.06.2026</t>
  </si>
  <si>
    <t>22.06.2026 (Leistungsdatum)</t>
  </si>
  <si>
    <t>TA-1180</t>
  </si>
  <si>
    <t>Vakanz</t>
  </si>
  <si>
    <t>Leitung IT-Infrastruktur</t>
  </si>
  <si>
    <t>Talentis Personalberatung GmbH</t>
  </si>
  <si>
    <t>Personalvermittlung</t>
  </si>
  <si>
    <t>46_Rechnung_Personalvermittlung_TA-2026-0662.pdf</t>
  </si>
  <si>
    <t>EF-2026-2201</t>
  </si>
  <si>
    <t>28.04.2026</t>
  </si>
  <si>
    <t>24.04.2026 (Leistungsdatum)</t>
  </si>
  <si>
    <t>EF-4402</t>
  </si>
  <si>
    <t>PO-2026-10662</t>
  </si>
  <si>
    <t>Ergoform Büroeinrichtung GmbH</t>
  </si>
  <si>
    <t>Büromöbel und Ergonomie</t>
  </si>
  <si>
    <t>19.05.2026</t>
  </si>
  <si>
    <t>47_Rechnung_Bueromoebel_EF-2026-2201.pdf</t>
  </si>
  <si>
    <t>AQ-2026-1104</t>
  </si>
  <si>
    <t>04.06.2026</t>
  </si>
  <si>
    <t>AQ-7714</t>
  </si>
  <si>
    <t>SV-2023-22</t>
  </si>
  <si>
    <t>Aquavit Wasserspender GmbH</t>
  </si>
  <si>
    <t>Wasserspender und Kaffeeservice</t>
  </si>
  <si>
    <t>18.06.2026</t>
  </si>
  <si>
    <t>48_Rechnung_Wasserspender_AQ-2026-1104.pdf</t>
  </si>
  <si>
    <t>VS-2026-0388</t>
  </si>
  <si>
    <t>30.04.2026</t>
  </si>
  <si>
    <t>10.02.2026 - 24.04.2026</t>
  </si>
  <si>
    <t>VS-2019</t>
  </si>
  <si>
    <t>Kursnummer</t>
  </si>
  <si>
    <t>BE-2026-04</t>
  </si>
  <si>
    <t>Verbal Sprachinstitut GmbH</t>
  </si>
  <si>
    <t>Sprachkurse Business English</t>
  </si>
  <si>
    <t>21.05.2026</t>
  </si>
  <si>
    <t>49_Rechnung_Sprachkurse_VS-2026-0388.pdf</t>
  </si>
  <si>
    <t>B8-2026-0227</t>
  </si>
  <si>
    <t>22.07.2026</t>
  </si>
  <si>
    <t>06.07.2026 - 17.07.2026</t>
  </si>
  <si>
    <t>B8-1150</t>
  </si>
  <si>
    <t>Imagefilm Nachhaltigkeit</t>
  </si>
  <si>
    <t>Blende8 Film und Foto GmbH</t>
  </si>
  <si>
    <t>Imagefilm und Fotoproduktion</t>
  </si>
  <si>
    <t>12.08.2026</t>
  </si>
  <si>
    <t>50_Rechnung_Imagefilm_B8-2026-0227.pdf</t>
  </si>
  <si>
    <t>FV-2026-0912</t>
  </si>
  <si>
    <t>12.01.2026</t>
  </si>
  <si>
    <t>AB-4471</t>
  </si>
  <si>
    <t>Abonummer</t>
  </si>
  <si>
    <t>A-99120</t>
  </si>
  <si>
    <t>Fachpresse Verlag GmbH</t>
  </si>
  <si>
    <t>Fachliteratur und Abonnements</t>
  </si>
  <si>
    <t>51_Rechnung_Fachliteratur_FV-2026-0912.pdf</t>
  </si>
  <si>
    <t>PR-2026-3341</t>
  </si>
  <si>
    <t>18.02.2026</t>
  </si>
  <si>
    <t>16.02.2026 (Leistungsdatum)</t>
  </si>
  <si>
    <t>PM-2208</t>
  </si>
  <si>
    <t>PO-2026-09441</t>
  </si>
  <si>
    <t>Promota Werbemittel GmbH</t>
  </si>
  <si>
    <t>Werbeartikel</t>
  </si>
  <si>
    <t>04.03.2026</t>
  </si>
  <si>
    <t>52_Rechnung_Werbeartikel_PR-2026-3341.pdf</t>
  </si>
  <si>
    <t>KE-2026-11408</t>
  </si>
  <si>
    <t>KE-3312</t>
  </si>
  <si>
    <t>Sammelabrechnung</t>
  </si>
  <si>
    <t>SA-2026-02</t>
  </si>
  <si>
    <t>Kurierexpress Rhein-Neckar GmbH</t>
  </si>
  <si>
    <t>Kurierfahrten</t>
  </si>
  <si>
    <t>53_Rechnung_Kurierfahrten_KE-2026-11408.pdf</t>
  </si>
  <si>
    <t>SD-2026-0448</t>
  </si>
  <si>
    <t>07.04.2026</t>
  </si>
  <si>
    <t>SD-1180</t>
  </si>
  <si>
    <t>AV-2024-12</t>
  </si>
  <si>
    <t>Sekurdoc Aktenservice GmbH</t>
  </si>
  <si>
    <t>Aktenvernichtung und Archivierung</t>
  </si>
  <si>
    <t>54_Rechnung_Aktenvernichtung_SD-2026-0448.pdf</t>
  </si>
  <si>
    <t>IK-2026-0217</t>
  </si>
  <si>
    <t>16.04.2026 (Leistungsdatum)</t>
  </si>
  <si>
    <t>IK-2044</t>
  </si>
  <si>
    <t>Gesellschafterversammlung</t>
  </si>
  <si>
    <t>Interlingua Konferenzdienst GmbH</t>
  </si>
  <si>
    <t>Dolmetscherdienst</t>
  </si>
  <si>
    <t>05.05.2026</t>
  </si>
  <si>
    <t>55_Rechnung_Dolmetscherdienst_IK-2026-0217.pdf</t>
  </si>
  <si>
    <t>SA-2026-0331</t>
  </si>
  <si>
    <t>06.05.2026</t>
  </si>
  <si>
    <t>01.01.2026 - 31.03.2026</t>
  </si>
  <si>
    <t>SI-7702</t>
  </si>
  <si>
    <t>ASiG-2024-03</t>
  </si>
  <si>
    <t>Sicura Arbeitsschutz Beratung GmbH</t>
  </si>
  <si>
    <t>Arbeitssicherheit Betreuung</t>
  </si>
  <si>
    <t>05.06.2026</t>
  </si>
  <si>
    <t>56_Rechnung_Arbeitssicherheit_SA-2026-0331.pdf</t>
  </si>
  <si>
    <t>PS-2026-1104</t>
  </si>
  <si>
    <t>13.05.2026 (Leistungsdatum)</t>
  </si>
  <si>
    <t>PY-4402</t>
  </si>
  <si>
    <t>A-2026-0882</t>
  </si>
  <si>
    <t>Pyrostop Brandschutztechnik GmbH</t>
  </si>
  <si>
    <t>Brandschutzwartung</t>
  </si>
  <si>
    <t>57_Rechnung_Brandschutzwartung_PS-2026-1104.pdf</t>
  </si>
  <si>
    <t>LW-2026-0662</t>
  </si>
  <si>
    <t>02.06.2026</t>
  </si>
  <si>
    <t>01.06.2026 - 31.05.2027</t>
  </si>
  <si>
    <t>LW-3390</t>
  </si>
  <si>
    <t>EL-2026-01</t>
  </si>
  <si>
    <t>Lernwerk Digital GmbH</t>
  </si>
  <si>
    <t>E-Learning Unterweisungen</t>
  </si>
  <si>
    <t>02.07.2026</t>
  </si>
  <si>
    <t>58_Rechnung_E-Learning_LW-2026-0662.pdf</t>
  </si>
  <si>
    <t>AT-2026-0774</t>
  </si>
  <si>
    <t>23.06.2026</t>
  </si>
  <si>
    <t>18.06.2026 (Leistungsdatum)</t>
  </si>
  <si>
    <t>AT-1150</t>
  </si>
  <si>
    <t>A-26-2214</t>
  </si>
  <si>
    <t>Airtec Drucklufttechnik GmbH</t>
  </si>
  <si>
    <t>Druckluftanlagen Wartung</t>
  </si>
  <si>
    <t>59_Rechnung_Druckluftanlagen_AT-2026-0774.pdf</t>
  </si>
  <si>
    <t>WP-2026-8814</t>
  </si>
  <si>
    <t>51180</t>
  </si>
  <si>
    <t>PO-2026-12008</t>
  </si>
  <si>
    <t>Weldpro Schweißtechnik GmbH</t>
  </si>
  <si>
    <t>Schweißzusatzwerkstoffe</t>
  </si>
  <si>
    <t>08.08.2026</t>
  </si>
  <si>
    <t>60_Rechnung_Schweisszusatzwerkstoffe_WP-2026-8814.pdf</t>
  </si>
  <si>
    <t>CO-2026-2219</t>
  </si>
  <si>
    <t>13.07.2026 - 24.07.2026</t>
  </si>
  <si>
    <t>CT-6620</t>
  </si>
  <si>
    <t>PO-2026-12441</t>
  </si>
  <si>
    <t>Coatec Oberflächentechnik GmbH</t>
  </si>
  <si>
    <t>Lohnbeschichtung</t>
  </si>
  <si>
    <t>17.08.2026</t>
  </si>
  <si>
    <t>61_Rechnung_Lohnbeschichtung_CO-2026-2219.pdf</t>
  </si>
  <si>
    <t>TH-2026-4471</t>
  </si>
  <si>
    <t>31.07.2026 (Leistungsdatum)</t>
  </si>
  <si>
    <t>TC-3308</t>
  </si>
  <si>
    <t>PO-2026-12660</t>
  </si>
  <si>
    <t>Thermica Härterei GmbH</t>
  </si>
  <si>
    <t>Wärmebehandlung</t>
  </si>
  <si>
    <t>04.09.2026</t>
  </si>
  <si>
    <t>62_Rechnung_Waermebehandlung_TH-2026-4471.pdf</t>
  </si>
  <si>
    <t>CT-2026-7719</t>
  </si>
  <si>
    <t>12.08.2026 (Leistungsdatum)</t>
  </si>
  <si>
    <t>PO-2026-12881</t>
  </si>
  <si>
    <t>Cuttec Zerspanungswerkzeuge GmbH</t>
  </si>
  <si>
    <t>Zerspanungswerkzeuge</t>
  </si>
  <si>
    <t>63_Rechnung_Zerspanungswerkzeuge_CT-2026-7719.pdf</t>
  </si>
  <si>
    <t>LM-2026-0338</t>
  </si>
  <si>
    <t>01.09.2026</t>
  </si>
  <si>
    <t>LX-2255</t>
  </si>
  <si>
    <t>FM-2025-02</t>
  </si>
  <si>
    <t>Lubrimax Fluidservice GmbH</t>
  </si>
  <si>
    <t>Kühlschmierstoffmanagement</t>
  </si>
  <si>
    <t>15.09.2026</t>
  </si>
  <si>
    <t>64_Rechnung_Kuehlschmierstoffmanagement_LM-2026-0338.pdf</t>
  </si>
  <si>
    <t>RX-2026-0114</t>
  </si>
  <si>
    <t>11.09.2026</t>
  </si>
  <si>
    <t>04.08.2026 - 05.09.2026</t>
  </si>
  <si>
    <t>RB-1188</t>
  </si>
  <si>
    <t>Handlingzelle Linie 4</t>
  </si>
  <si>
    <t>Robotix Automation GmbH</t>
  </si>
  <si>
    <t>Roboterintegration</t>
  </si>
  <si>
    <t>11.10.2026</t>
  </si>
  <si>
    <t>65_Rechnung_Roboterintegration_RX-2026-0114.pdf</t>
  </si>
  <si>
    <t>SL-2026-0552</t>
  </si>
  <si>
    <t>22.09.2026</t>
  </si>
  <si>
    <t>01.09.2026 - 18.09.2026</t>
  </si>
  <si>
    <t>SL-4409</t>
  </si>
  <si>
    <t>A-2026-1180</t>
  </si>
  <si>
    <t>Steuerlogik Systemtechnik GmbH</t>
  </si>
  <si>
    <t>SPS-Programmierung</t>
  </si>
  <si>
    <t>13.10.2026</t>
  </si>
  <si>
    <t>66_Rechnung_SPS-Programmierung_SL-2026-0552.pdf</t>
  </si>
  <si>
    <t>PT-2026-6640</t>
  </si>
  <si>
    <t>28.09.2026</t>
  </si>
  <si>
    <t>24.09.2026 (Leistungsdatum)</t>
  </si>
  <si>
    <t>50662</t>
  </si>
  <si>
    <t>PO-2026-13114</t>
  </si>
  <si>
    <t>Pumptec Industrieservice GmbH</t>
  </si>
  <si>
    <t>Pumpen Ersatzteile</t>
  </si>
  <si>
    <t>28.10.2026</t>
  </si>
  <si>
    <t>67_Rechnung_Pumpen_PT-2026-6640.pdf</t>
  </si>
  <si>
    <t>LC-2026-0993</t>
  </si>
  <si>
    <t>06.10.2026</t>
  </si>
  <si>
    <t>28.09.2026 - 02.10.2026</t>
  </si>
  <si>
    <t>LC-2044</t>
  </si>
  <si>
    <t>PB-2026-1180</t>
  </si>
  <si>
    <t>Liftcheck Prüfgesellschaft mbH</t>
  </si>
  <si>
    <t>Kranprüfung UVV</t>
  </si>
  <si>
    <t>27.10.2026</t>
  </si>
  <si>
    <t>68_Rechnung_Kranpruefung_LC-2026-0993.pdf</t>
  </si>
  <si>
    <t>RI-2026-0447</t>
  </si>
  <si>
    <t>08.10.2026 (Leistungsdatum)</t>
  </si>
  <si>
    <t>RI-3311</t>
  </si>
  <si>
    <t>A-2026-1244</t>
  </si>
  <si>
    <t>Rackinspect Lagertechnik GmbH</t>
  </si>
  <si>
    <t>Regalinspektion</t>
  </si>
  <si>
    <t>69_Rechnung_Regalinspektion_RI-2026-0447.pdf</t>
  </si>
  <si>
    <t>MB-2026-1150</t>
  </si>
  <si>
    <t>19.10.2026</t>
  </si>
  <si>
    <t>01.09.2026 - 30.09.2026</t>
  </si>
  <si>
    <t>MB-8804</t>
  </si>
  <si>
    <t>MV-2026-14</t>
  </si>
  <si>
    <t>Modulbau Raumsysteme GmbH</t>
  </si>
  <si>
    <t>Baucontainer Miete</t>
  </si>
  <si>
    <t>09.11.2026</t>
  </si>
  <si>
    <t>70_Rechnung_Baucontainer_MB-2026-1150.pdf</t>
  </si>
  <si>
    <t>BB-2026-0228</t>
  </si>
  <si>
    <t>26.10.2026</t>
  </si>
  <si>
    <t>21.09.2026 - 16.10.2026</t>
  </si>
  <si>
    <t>BB-1102</t>
  </si>
  <si>
    <t>A-2026-0991</t>
  </si>
  <si>
    <t>Betonbau Südwest GmbH</t>
  </si>
  <si>
    <t>Fundamentarbeiten</t>
  </si>
  <si>
    <t>25.11.2026</t>
  </si>
  <si>
    <t>71_Rechnung_Fundamentarbeiten_BB-2026-0228.pdf</t>
  </si>
  <si>
    <t>DW-2026-0771</t>
  </si>
  <si>
    <t>02.11.2026</t>
  </si>
  <si>
    <t>05.10.2026 - 28.10.2026</t>
  </si>
  <si>
    <t>DW-2210</t>
  </si>
  <si>
    <t>A-2026-1088</t>
  </si>
  <si>
    <t>Dachwerk Bedachungen GmbH</t>
  </si>
  <si>
    <t>Dachsanierung</t>
  </si>
  <si>
    <t>02.12.2026</t>
  </si>
  <si>
    <t>72_Rechnung_Dachsanierung_DW-2026-0771.pdf</t>
  </si>
  <si>
    <t>GK-2026-0338</t>
  </si>
  <si>
    <t>19.10.2026 - 06.11.2026</t>
  </si>
  <si>
    <t>GK-4402</t>
  </si>
  <si>
    <t>A-2026-1177</t>
  </si>
  <si>
    <t>Glasklar Fensterbau GmbH</t>
  </si>
  <si>
    <t>Fensterbau und Verglasung</t>
  </si>
  <si>
    <t>30.11.2026</t>
  </si>
  <si>
    <t>73_Rechnung_Fensterbau_GK-2026-0338.pdf</t>
  </si>
  <si>
    <t>LW-2026-2204</t>
  </si>
  <si>
    <t>16.11.2026</t>
  </si>
  <si>
    <t>11.11.2026 (Leistungsdatum)</t>
  </si>
  <si>
    <t>LK-6612</t>
  </si>
  <si>
    <t>PO-2026-13440</t>
  </si>
  <si>
    <t>Lockwell Schließsysteme GmbH</t>
  </si>
  <si>
    <t>Zutrittskontrolle</t>
  </si>
  <si>
    <t>07.12.2026</t>
  </si>
  <si>
    <t>74_Rechnung_Zutrittskontrolle_LW-2026-2204.pdf</t>
  </si>
  <si>
    <t>VT-2026-0885</t>
  </si>
  <si>
    <t>23.11.2026</t>
  </si>
  <si>
    <t>18.11.2026 (Leistungsdatum)</t>
  </si>
  <si>
    <t>VS-3390</t>
  </si>
  <si>
    <t>PO-2026-13511</t>
  </si>
  <si>
    <t>Visiotec Sicherheitstechnik GmbH</t>
  </si>
  <si>
    <t>Videoueberwachung</t>
  </si>
  <si>
    <t>23.12.2026</t>
  </si>
  <si>
    <t>75_Rechnung_Videoueberwachung_VT-2026-0885.pdf</t>
  </si>
  <si>
    <t>FN-2026-4417</t>
  </si>
  <si>
    <t>02.11.2026 - 25.11.2026</t>
  </si>
  <si>
    <t>FN-1204</t>
  </si>
  <si>
    <t>Standortanbindung Werk 3</t>
  </si>
  <si>
    <t>Fibernet Infrastruktur GmbH</t>
  </si>
  <si>
    <t>Glasfaseranschluss</t>
  </si>
  <si>
    <t>30.12.2026</t>
  </si>
  <si>
    <t>76_Rechnung_Glasfaseranschluss_FN-2026-4417.pdf</t>
  </si>
  <si>
    <t>SX-2026-0662</t>
  </si>
  <si>
    <t>03.12.2026 (Leistungsdatum)</t>
  </si>
  <si>
    <t>SX-8811</t>
  </si>
  <si>
    <t>AN-2026-0447</t>
  </si>
  <si>
    <t>Storix Datensysteme GmbH</t>
  </si>
  <si>
    <t>Storage-System</t>
  </si>
  <si>
    <t>27.12.2026</t>
  </si>
  <si>
    <t>77_Rechnung_Storage-System_SX-2026-0662.pdf</t>
  </si>
  <si>
    <t>EC-2026-11840</t>
  </si>
  <si>
    <t>14.12.2026</t>
  </si>
  <si>
    <t>01.11.2026 - 30.11.2026</t>
  </si>
  <si>
    <t>EC-2019</t>
  </si>
  <si>
    <t>AMS-2025-04</t>
  </si>
  <si>
    <t>ERPcare Servicegesellschaft mbH</t>
  </si>
  <si>
    <t>SAP-Wartung und Support</t>
  </si>
  <si>
    <t>04.01.2027</t>
  </si>
  <si>
    <t>78_Rechnung_SAP-Wartung_EC-2026-11840.pdf</t>
  </si>
  <si>
    <t>DH-2026-0774</t>
  </si>
  <si>
    <t>01.01.2026 - 31.12.2026</t>
  </si>
  <si>
    <t>DB-4471</t>
  </si>
  <si>
    <t>AN-2025-8814</t>
  </si>
  <si>
    <t>Datenbankhaus Vertriebs GmbH</t>
  </si>
  <si>
    <t>Datenbanklizenzen</t>
  </si>
  <si>
    <t>79_Rechnung_Datenbanklizenzen_DH-2026-0774.pdf</t>
  </si>
  <si>
    <t>CB-2026-0117</t>
  </si>
  <si>
    <t>26.01.2026</t>
  </si>
  <si>
    <t>12.01.2026 - 23.01.2026</t>
  </si>
  <si>
    <t>CS-3302</t>
  </si>
  <si>
    <t>Pentest Produktionsnetz</t>
  </si>
  <si>
    <t>Cybershield Security GmbH</t>
  </si>
  <si>
    <t>IT-Security Penetrationstest</t>
  </si>
  <si>
    <t>09.02.2026</t>
  </si>
  <si>
    <t>80_Rechnung_IT-Security_CB-2026-0117.pdf</t>
  </si>
  <si>
    <t>PF-2026-0338</t>
  </si>
  <si>
    <t>04.02.2026</t>
  </si>
  <si>
    <t>PF-1180</t>
  </si>
  <si>
    <t>MPS-2024-08</t>
  </si>
  <si>
    <t>Printflow Bueroservice GmbH</t>
  </si>
  <si>
    <t>Managed Print Services</t>
  </si>
  <si>
    <t>81_Rechnung_Managed_PF-2026-0338.pdf</t>
  </si>
  <si>
    <t>VC-2026-2214</t>
  </si>
  <si>
    <t>11.02.2026</t>
  </si>
  <si>
    <t>05.02.2026 (Leistungsdatum)</t>
  </si>
  <si>
    <t>VC-7714</t>
  </si>
  <si>
    <t>PO-2026-09660</t>
  </si>
  <si>
    <t>Voicecom Kommunikationssysteme GmbH</t>
  </si>
  <si>
    <t>Telefonanlage UCC</t>
  </si>
  <si>
    <t>82_Rechnung_Telefonanlage_VC-2026-2214.pdf</t>
  </si>
  <si>
    <t>MV-2026-0093</t>
  </si>
  <si>
    <t>05.01.2026 - 13.02.2026</t>
  </si>
  <si>
    <t>MV-2288</t>
  </si>
  <si>
    <t>Studie Reinigungsmarkt EU</t>
  </si>
  <si>
    <t>Markview Marktforschung GmbH</t>
  </si>
  <si>
    <t>Marktforschungsstudie</t>
  </si>
  <si>
    <t>11.03.2026</t>
  </si>
  <si>
    <t>83_Rechnung_Marktforschungsstudie_MV-2026-0093.pdf</t>
  </si>
  <si>
    <t>SG-2026-0441</t>
  </si>
  <si>
    <t>25.02.2026</t>
  </si>
  <si>
    <t>01.02.2026 - 20.02.2026</t>
  </si>
  <si>
    <t>SG-1104</t>
  </si>
  <si>
    <t>Portfolioanalyse 2030</t>
  </si>
  <si>
    <t>Strategika Unternehmensberatung GmbH</t>
  </si>
  <si>
    <t>Strategieberatung</t>
  </si>
  <si>
    <t>84_Rechnung_Strategieberatung_SG-2026-0441.pdf</t>
  </si>
  <si>
    <t>KP-2026-0662</t>
  </si>
  <si>
    <t>16.02.2026 - 01.03.2026</t>
  </si>
  <si>
    <t>KP-3311</t>
  </si>
  <si>
    <t>KW 08 und 09</t>
  </si>
  <si>
    <t>Kontor Personalservice GmbH</t>
  </si>
  <si>
    <t>Zeitarbeit kaufmännisch</t>
  </si>
  <si>
    <t>18.03.2026</t>
  </si>
  <si>
    <t>85_Rechnung_Zeitarbeit_KP-2026-0662.pdf</t>
  </si>
  <si>
    <t>UP-2026-0227</t>
  </si>
  <si>
    <t>12.03.2026</t>
  </si>
  <si>
    <t>27.02.2026 - 08.03.2026</t>
  </si>
  <si>
    <t>UP-4409</t>
  </si>
  <si>
    <t>A-2026-0338</t>
  </si>
  <si>
    <t>Umzugsprofis Rhein-Neckar GmbH</t>
  </si>
  <si>
    <t>Betriebsumzug</t>
  </si>
  <si>
    <t>86_Rechnung_Betriebsumzug_UP-2026-0227.pdf</t>
  </si>
  <si>
    <t>HF-2026-0118</t>
  </si>
  <si>
    <t>19.03.2026</t>
  </si>
  <si>
    <t>23.02.2026 - 13.03.2026</t>
  </si>
  <si>
    <t>HF-2201</t>
  </si>
  <si>
    <t>A-2026-0442</t>
  </si>
  <si>
    <t>Holzform Objekttischlerei GmbH</t>
  </si>
  <si>
    <t>Sondermöbelbau</t>
  </si>
  <si>
    <t>09.04.2026</t>
  </si>
  <si>
    <t>87_Rechnung_Sondermoebelbau_HF-2026-0118.pdf</t>
  </si>
  <si>
    <t>SG-2026-1180</t>
  </si>
  <si>
    <t>26.03.2026</t>
  </si>
  <si>
    <t>20.03.2026 (Leistungsdatum)</t>
  </si>
  <si>
    <t>ST-5511</t>
  </si>
  <si>
    <t>A-2026-0551</t>
  </si>
  <si>
    <t>Signaltechnik Werbedesign GmbH</t>
  </si>
  <si>
    <t>Beschilderung</t>
  </si>
  <si>
    <t>16.04.2026</t>
  </si>
  <si>
    <t>88_Rechnung_Beschilderung_SG-2026-1180.pdf</t>
  </si>
  <si>
    <t>RL-2026-0552</t>
  </si>
  <si>
    <t>23.03.2026 - 27.03.2026</t>
  </si>
  <si>
    <t>RL-1140</t>
  </si>
  <si>
    <t>PB-2026-0338</t>
  </si>
  <si>
    <t>Radiolab Prüftechnik GmbH</t>
  </si>
  <si>
    <t>Zerstörungsfreie Prüfung</t>
  </si>
  <si>
    <t>23.04.2026</t>
  </si>
  <si>
    <t>89_Rechnung_Zerstoerungsfreie_RL-2026-0552.pdf</t>
  </si>
  <si>
    <t>CR-2026-0338</t>
  </si>
  <si>
    <t>01.04.2026 (Leistungsdatum)</t>
  </si>
  <si>
    <t>CR-2255</t>
  </si>
  <si>
    <t>RR-2024-07</t>
  </si>
  <si>
    <t>Cleanroom Systems GmbH</t>
  </si>
  <si>
    <t>Reinraumwartung</t>
  </si>
  <si>
    <t>90_Rechnung_Reinraumwartung_CR-2026-0338.pdf</t>
  </si>
  <si>
    <t>HL-2026-0771</t>
  </si>
  <si>
    <t>06.04.2026 - 10.04.2026</t>
  </si>
  <si>
    <t>HL-3308</t>
  </si>
  <si>
    <t>PB-2026-0447</t>
  </si>
  <si>
    <t>Hydrolab Wasseranalytik GmbH</t>
  </si>
  <si>
    <t>Trinkwasseranalyse</t>
  </si>
  <si>
    <t>91_Rechnung_Trinkwasseranalyse_HL-2026-0771.pdf</t>
  </si>
  <si>
    <t>VI-2026-0448</t>
  </si>
  <si>
    <t>VI-1188</t>
  </si>
  <si>
    <t>SB-2023-05</t>
  </si>
  <si>
    <t>Vitalis Schädlingsbekämpfung GmbH</t>
  </si>
  <si>
    <t>Schädlingsmonitoring</t>
  </si>
  <si>
    <t>92_Rechnung_Schaedlingsmonitoring_VI-2026-0448.pdf</t>
  </si>
  <si>
    <t>RZ-2026-2204</t>
  </si>
  <si>
    <t>13.04.2026 - 24.04.2026</t>
  </si>
  <si>
    <t>RZ-4471</t>
  </si>
  <si>
    <t>FL-2025-11</t>
  </si>
  <si>
    <t>Reifenzentrum Südwest GmbH</t>
  </si>
  <si>
    <t>Reifenservice Fuhrpark</t>
  </si>
  <si>
    <t>14.05.2026</t>
  </si>
  <si>
    <t>93_Rechnung_Reifenservice_RZ-2026-2204.pdf</t>
  </si>
  <si>
    <t>TP-2026-88410</t>
  </si>
  <si>
    <t>TP-1204</t>
  </si>
  <si>
    <t>Kartenkreis</t>
  </si>
  <si>
    <t>FK-2026-114</t>
  </si>
  <si>
    <t>Tankpartner Kraftstoffe GmbH</t>
  </si>
  <si>
    <t>Kraftstoff Tankkarten</t>
  </si>
  <si>
    <t>94_Rechnung_Kraftstoff_TP-2026-88410.pdf</t>
  </si>
  <si>
    <t>FM-2026-1140</t>
  </si>
  <si>
    <t>FX-2019</t>
  </si>
  <si>
    <t>MW-2025-06</t>
  </si>
  <si>
    <t>Flexmobil Autovermietung GmbH</t>
  </si>
  <si>
    <t>Mietwagen Langzeitmiete</t>
  </si>
  <si>
    <t>95_Rechnung_Mietwagen_FM-2026-1140.pdf</t>
  </si>
  <si>
    <t>LP-2026-3390</t>
  </si>
  <si>
    <t>18.05.2026 (Leistungsdatum)</t>
  </si>
  <si>
    <t>51330</t>
  </si>
  <si>
    <t>PO-2026-11220</t>
  </si>
  <si>
    <t>Labelpro Kennzeichnungstechnik GmbH</t>
  </si>
  <si>
    <t>Etiketten und Kennzeichnung</t>
  </si>
  <si>
    <t>96_Rechnung_Etiketten_LP-2026-3390.pdf</t>
  </si>
  <si>
    <t>WB-2026-0338</t>
  </si>
  <si>
    <t>WB-2255</t>
  </si>
  <si>
    <t>WV-2024-02</t>
  </si>
  <si>
    <t>Werksbus Verkehrsbetrieb GmbH</t>
  </si>
  <si>
    <t>Werksbusverkehr</t>
  </si>
  <si>
    <t>97_Rechnung_Werksbusverkehr_WB-2026-0338.pdf</t>
  </si>
  <si>
    <t>FW-2026-0771</t>
  </si>
  <si>
    <t>30.05.2026 (Leistungsdatum)</t>
  </si>
  <si>
    <t>FE-3311</t>
  </si>
  <si>
    <t>Sommerfest 2026</t>
  </si>
  <si>
    <t>Festwerk Eventagentur GmbH</t>
  </si>
  <si>
    <t>Sommerfest Betriebsfeier</t>
  </si>
  <si>
    <t>98_Rechnung_Sommerfest_FW-2026-0771.pdf</t>
  </si>
  <si>
    <t>KP-2026-4471</t>
  </si>
  <si>
    <t>51442</t>
  </si>
  <si>
    <t>Klimapartner Gerätetechnik GmbH</t>
  </si>
  <si>
    <t>Klimageräte Beschaffung</t>
  </si>
  <si>
    <t>11.07.2026</t>
  </si>
  <si>
    <t>99_Rechnung_Klimageraete_KP-2026-4471.pdf</t>
  </si>
  <si>
    <t>PT-2026-5518</t>
  </si>
  <si>
    <t>51550</t>
  </si>
  <si>
    <t>PO-2026-11991</t>
  </si>
  <si>
    <t>Protega Arbeitsschutz GmbH</t>
  </si>
  <si>
    <t>Persönliche Schutzausrüstung</t>
  </si>
  <si>
    <t>100_Rechnung_Persoenliche_PT-2026-5518.pdf</t>
  </si>
  <si>
    <t>Summe</t>
  </si>
  <si>
    <t>Legende:</t>
  </si>
  <si>
    <t>Blaue Schrift = Wert aus der Original-Rechnung (Netto, Steuersatz)</t>
  </si>
  <si>
    <t>Schwarze Schrift = berechnet (USt = Netto x Steuersatz, Brutto = Netto + USt)</t>
  </si>
  <si>
    <t>Zeilen 2-12: Rechnungen 01-11 | 13-51: Rechnungen 12-50 | 52-101: Rechnungen 51-100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</si>
</sst>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#,##0.00&quot; €&quot;"/>
  </numFmts>
  <fonts count="11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b/>
      <sz val="10"/>
      <name val="Arial"/>
      <charset val="1"/>
    </font>
    <font>
      <b/>
      <sz val="9"/>
      <name val="Arial"/>
      <charset val="1"/>
    </font>
    <font>
      <sz val="9"/>
      <color rgb="FF0000FF"/>
      <name val="Arial"/>
      <charset val="1"/>
    </font>
    <font>
      <sz val="9"/>
      <name val="Arial"/>
      <charset val="1"/>
    </font>
    <font>
      <i/>
      <sz val="9"/>
      <name val="Arial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165" fontId="3" fillId="0" borderId="1" xfId="0" applyNumberFormat="1" applyFont="1" applyBorder="1" applyAlignment="1">
      <alignment vertical="center"/>
    </xf>
    <xf numFmtId="9" fontId="3" fillId="0" borderId="1" xfId="0" applyNumberFormat="1" applyFont="1" applyBorder="1" applyAlignment="1">
      <alignment vertical="center"/>
    </xf>
    <xf numFmtId="165" fontId="4" fillId="0" borderId="1" xfId="0" applyNumberFormat="1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0" fontId="5" fillId="0" borderId="0" xfId="0" applyFont="1"/>
    <xf numFmtId="165" fontId="5" fillId="0" borderId="2" xfId="0" applyNumberFormat="1" applyFont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8"/>
  <sheetViews>
    <sheetView tabSelected="1" topLeftCell="I1" zoomScaleNormal="100" workbookViewId="0">
      <pane ySplit="1" topLeftCell="A4" activePane="bottomLeft" state="frozen"/>
      <selection pane="bottomLeft" activeCell="AC4" sqref="AC4"/>
    </sheetView>
  </sheetViews>
  <sheetFormatPr baseColWidth="10" defaultColWidth="8.7109375" defaultRowHeight="15" x14ac:dyDescent="0.25"/>
  <cols>
    <col min="1" max="1" width="32" customWidth="1"/>
    <col min="2" max="2" width="16" customWidth="1"/>
    <col min="3" max="3" width="13" customWidth="1"/>
    <col min="4" max="4" width="24" customWidth="1"/>
    <col min="5" max="5" width="13" customWidth="1"/>
    <col min="6" max="6" width="18" customWidth="1"/>
    <col min="7" max="7" width="22" customWidth="1"/>
    <col min="8" max="8" width="28" customWidth="1"/>
    <col min="9" max="9" width="32" customWidth="1"/>
    <col min="10" max="10" width="13" customWidth="1"/>
    <col min="11" max="11" width="10" customWidth="1"/>
    <col min="12" max="12" width="12" customWidth="1"/>
    <col min="13" max="13" width="15" customWidth="1"/>
    <col min="14" max="14" width="12" customWidth="1"/>
    <col min="15" max="15" width="44" customWidth="1"/>
  </cols>
  <sheetData>
    <row r="1" spans="1:15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5.5" x14ac:dyDescent="0.25">
      <c r="A2" s="2" t="s">
        <v>15</v>
      </c>
      <c r="B2" s="2" t="s">
        <v>16</v>
      </c>
      <c r="C2" s="3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4" t="s">
        <v>23</v>
      </c>
      <c r="J2" s="5">
        <v>3372</v>
      </c>
      <c r="K2" s="6">
        <v>0.19</v>
      </c>
      <c r="L2" s="7">
        <f t="shared" ref="L2:L33" si="0">ROUND(J2*K2,2)</f>
        <v>640.67999999999995</v>
      </c>
      <c r="M2" s="8">
        <f t="shared" ref="M2:M33" si="1">ROUND(J2+L2,2)</f>
        <v>4012.68</v>
      </c>
      <c r="N2" s="3" t="s">
        <v>24</v>
      </c>
      <c r="O2" s="2" t="s">
        <v>25</v>
      </c>
    </row>
    <row r="3" spans="1:15" x14ac:dyDescent="0.25">
      <c r="A3" s="2" t="s">
        <v>15</v>
      </c>
      <c r="B3" s="2" t="s">
        <v>26</v>
      </c>
      <c r="C3" s="3" t="s">
        <v>27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4" t="s">
        <v>33</v>
      </c>
      <c r="J3" s="5">
        <v>4878</v>
      </c>
      <c r="K3" s="6">
        <v>0.19</v>
      </c>
      <c r="L3" s="7">
        <f t="shared" si="0"/>
        <v>926.82</v>
      </c>
      <c r="M3" s="8">
        <f t="shared" si="1"/>
        <v>5804.82</v>
      </c>
      <c r="N3" s="3" t="s">
        <v>34</v>
      </c>
      <c r="O3" s="2" t="s">
        <v>35</v>
      </c>
    </row>
    <row r="4" spans="1:15" ht="25.5" x14ac:dyDescent="0.25">
      <c r="A4" s="2" t="s">
        <v>36</v>
      </c>
      <c r="B4" s="2" t="s">
        <v>37</v>
      </c>
      <c r="C4" s="3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43</v>
      </c>
      <c r="I4" s="4" t="s">
        <v>44</v>
      </c>
      <c r="J4" s="5">
        <v>26930</v>
      </c>
      <c r="K4" s="6">
        <v>0.19</v>
      </c>
      <c r="L4" s="7">
        <f t="shared" si="0"/>
        <v>5116.7</v>
      </c>
      <c r="M4" s="8">
        <f t="shared" si="1"/>
        <v>32046.7</v>
      </c>
      <c r="N4" s="3" t="s">
        <v>45</v>
      </c>
      <c r="O4" s="2" t="s">
        <v>46</v>
      </c>
    </row>
    <row r="5" spans="1:15" x14ac:dyDescent="0.25">
      <c r="A5" s="2" t="s">
        <v>47</v>
      </c>
      <c r="B5" s="2" t="s">
        <v>48</v>
      </c>
      <c r="C5" s="3" t="s">
        <v>49</v>
      </c>
      <c r="D5" s="2" t="s">
        <v>50</v>
      </c>
      <c r="E5" s="2"/>
      <c r="F5" s="2" t="s">
        <v>51</v>
      </c>
      <c r="G5" s="2" t="s">
        <v>52</v>
      </c>
      <c r="H5" s="2" t="s">
        <v>53</v>
      </c>
      <c r="I5" s="4" t="s">
        <v>54</v>
      </c>
      <c r="J5" s="5">
        <v>3913.4</v>
      </c>
      <c r="K5" s="6">
        <v>0.19</v>
      </c>
      <c r="L5" s="7">
        <f t="shared" si="0"/>
        <v>743.55</v>
      </c>
      <c r="M5" s="8">
        <f t="shared" si="1"/>
        <v>4656.95</v>
      </c>
      <c r="N5" s="3" t="s">
        <v>55</v>
      </c>
      <c r="O5" s="2" t="s">
        <v>56</v>
      </c>
    </row>
    <row r="6" spans="1:15" x14ac:dyDescent="0.25">
      <c r="A6" s="2" t="s">
        <v>57</v>
      </c>
      <c r="B6" s="2" t="s">
        <v>58</v>
      </c>
      <c r="C6" s="3" t="s">
        <v>59</v>
      </c>
      <c r="D6" s="2" t="s">
        <v>60</v>
      </c>
      <c r="E6" s="2" t="s">
        <v>61</v>
      </c>
      <c r="F6" s="2" t="s">
        <v>62</v>
      </c>
      <c r="G6" s="2" t="s">
        <v>63</v>
      </c>
      <c r="H6" s="2" t="s">
        <v>64</v>
      </c>
      <c r="I6" s="4" t="s">
        <v>65</v>
      </c>
      <c r="J6" s="5">
        <v>4595.1499999999996</v>
      </c>
      <c r="K6" s="6">
        <v>0.19</v>
      </c>
      <c r="L6" s="7">
        <f t="shared" si="0"/>
        <v>873.08</v>
      </c>
      <c r="M6" s="8">
        <f t="shared" si="1"/>
        <v>5468.23</v>
      </c>
      <c r="N6" s="3" t="s">
        <v>66</v>
      </c>
      <c r="O6" s="2" t="s">
        <v>67</v>
      </c>
    </row>
    <row r="7" spans="1:15" ht="25.5" x14ac:dyDescent="0.25">
      <c r="A7" s="2" t="s">
        <v>68</v>
      </c>
      <c r="B7" s="2" t="s">
        <v>69</v>
      </c>
      <c r="C7" s="3" t="s">
        <v>70</v>
      </c>
      <c r="D7" s="2" t="s">
        <v>71</v>
      </c>
      <c r="E7" s="2" t="s">
        <v>72</v>
      </c>
      <c r="F7" s="2" t="s">
        <v>73</v>
      </c>
      <c r="G7" s="2" t="s">
        <v>74</v>
      </c>
      <c r="H7" s="2" t="s">
        <v>75</v>
      </c>
      <c r="I7" s="4" t="s">
        <v>76</v>
      </c>
      <c r="J7" s="5">
        <v>28806</v>
      </c>
      <c r="K7" s="6">
        <v>0.19</v>
      </c>
      <c r="L7" s="7">
        <f t="shared" si="0"/>
        <v>5473.14</v>
      </c>
      <c r="M7" s="8">
        <f t="shared" si="1"/>
        <v>34279.14</v>
      </c>
      <c r="N7" s="3" t="s">
        <v>77</v>
      </c>
      <c r="O7" s="2" t="s">
        <v>78</v>
      </c>
    </row>
    <row r="8" spans="1:15" ht="25.5" x14ac:dyDescent="0.25">
      <c r="A8" s="2" t="s">
        <v>15</v>
      </c>
      <c r="B8" s="2" t="s">
        <v>79</v>
      </c>
      <c r="C8" s="3" t="s">
        <v>80</v>
      </c>
      <c r="D8" s="2" t="s">
        <v>81</v>
      </c>
      <c r="E8" s="2" t="s">
        <v>82</v>
      </c>
      <c r="F8" s="2" t="s">
        <v>83</v>
      </c>
      <c r="G8" s="2" t="s">
        <v>84</v>
      </c>
      <c r="H8" s="2" t="s">
        <v>85</v>
      </c>
      <c r="I8" s="4" t="s">
        <v>86</v>
      </c>
      <c r="J8" s="5">
        <v>12980</v>
      </c>
      <c r="K8" s="6">
        <v>0.19</v>
      </c>
      <c r="L8" s="7">
        <f t="shared" si="0"/>
        <v>2466.1999999999998</v>
      </c>
      <c r="M8" s="8">
        <f t="shared" si="1"/>
        <v>15446.2</v>
      </c>
      <c r="N8" s="3" t="s">
        <v>27</v>
      </c>
      <c r="O8" s="2" t="s">
        <v>87</v>
      </c>
    </row>
    <row r="9" spans="1:15" x14ac:dyDescent="0.25">
      <c r="A9" s="2" t="s">
        <v>88</v>
      </c>
      <c r="B9" s="2" t="s">
        <v>89</v>
      </c>
      <c r="C9" s="3" t="s">
        <v>90</v>
      </c>
      <c r="D9" s="2" t="s">
        <v>91</v>
      </c>
      <c r="E9" s="2" t="s">
        <v>92</v>
      </c>
      <c r="F9" s="2" t="s">
        <v>20</v>
      </c>
      <c r="G9" s="2" t="s">
        <v>93</v>
      </c>
      <c r="H9" s="2" t="s">
        <v>94</v>
      </c>
      <c r="I9" s="4" t="s">
        <v>95</v>
      </c>
      <c r="J9" s="5">
        <v>6629</v>
      </c>
      <c r="K9" s="6">
        <v>0.19</v>
      </c>
      <c r="L9" s="7">
        <f t="shared" si="0"/>
        <v>1259.51</v>
      </c>
      <c r="M9" s="8">
        <f t="shared" si="1"/>
        <v>7888.51</v>
      </c>
      <c r="N9" s="3" t="s">
        <v>96</v>
      </c>
      <c r="O9" s="2" t="s">
        <v>97</v>
      </c>
    </row>
    <row r="10" spans="1:15" x14ac:dyDescent="0.25">
      <c r="A10" s="2" t="s">
        <v>47</v>
      </c>
      <c r="B10" s="2" t="s">
        <v>98</v>
      </c>
      <c r="C10" s="3" t="s">
        <v>99</v>
      </c>
      <c r="D10" s="2" t="s">
        <v>100</v>
      </c>
      <c r="E10" s="2" t="s">
        <v>101</v>
      </c>
      <c r="F10" s="2" t="s">
        <v>102</v>
      </c>
      <c r="G10" s="2" t="s">
        <v>103</v>
      </c>
      <c r="H10" s="2" t="s">
        <v>104</v>
      </c>
      <c r="I10" s="4" t="s">
        <v>105</v>
      </c>
      <c r="J10" s="5">
        <v>8715</v>
      </c>
      <c r="K10" s="6">
        <v>0.19</v>
      </c>
      <c r="L10" s="7">
        <f t="shared" si="0"/>
        <v>1655.85</v>
      </c>
      <c r="M10" s="8">
        <f t="shared" si="1"/>
        <v>10370.85</v>
      </c>
      <c r="N10" s="3" t="s">
        <v>106</v>
      </c>
      <c r="O10" s="2" t="s">
        <v>107</v>
      </c>
    </row>
    <row r="11" spans="1:15" x14ac:dyDescent="0.25">
      <c r="A11" s="2" t="s">
        <v>36</v>
      </c>
      <c r="B11" s="2" t="s">
        <v>108</v>
      </c>
      <c r="C11" s="3" t="s">
        <v>109</v>
      </c>
      <c r="D11" s="2" t="s">
        <v>110</v>
      </c>
      <c r="E11" s="2" t="s">
        <v>111</v>
      </c>
      <c r="F11" s="2" t="s">
        <v>112</v>
      </c>
      <c r="G11" s="2" t="s">
        <v>113</v>
      </c>
      <c r="H11" s="2" t="s">
        <v>114</v>
      </c>
      <c r="I11" s="4" t="s">
        <v>115</v>
      </c>
      <c r="J11" s="5">
        <v>27282</v>
      </c>
      <c r="K11" s="6">
        <v>0.19</v>
      </c>
      <c r="L11" s="7">
        <f t="shared" si="0"/>
        <v>5183.58</v>
      </c>
      <c r="M11" s="8">
        <f t="shared" si="1"/>
        <v>32465.58</v>
      </c>
      <c r="N11" s="3" t="s">
        <v>116</v>
      </c>
      <c r="O11" s="2" t="s">
        <v>117</v>
      </c>
    </row>
    <row r="12" spans="1:15" x14ac:dyDescent="0.25">
      <c r="A12" s="2" t="s">
        <v>57</v>
      </c>
      <c r="B12" s="2" t="s">
        <v>118</v>
      </c>
      <c r="C12" s="3" t="s">
        <v>119</v>
      </c>
      <c r="D12" s="2" t="s">
        <v>120</v>
      </c>
      <c r="E12" s="2" t="s">
        <v>121</v>
      </c>
      <c r="F12" s="2" t="s">
        <v>122</v>
      </c>
      <c r="G12" s="2" t="s">
        <v>123</v>
      </c>
      <c r="H12" s="2" t="s">
        <v>124</v>
      </c>
      <c r="I12" s="4" t="s">
        <v>125</v>
      </c>
      <c r="J12" s="5">
        <v>20142.400000000001</v>
      </c>
      <c r="K12" s="6">
        <v>0.19</v>
      </c>
      <c r="L12" s="7">
        <f t="shared" si="0"/>
        <v>3827.06</v>
      </c>
      <c r="M12" s="8">
        <f t="shared" si="1"/>
        <v>23969.46</v>
      </c>
      <c r="N12" s="3" t="s">
        <v>126</v>
      </c>
      <c r="O12" s="2" t="s">
        <v>127</v>
      </c>
    </row>
    <row r="13" spans="1:15" x14ac:dyDescent="0.25">
      <c r="A13" s="2" t="s">
        <v>47</v>
      </c>
      <c r="B13" s="2" t="s">
        <v>128</v>
      </c>
      <c r="C13" s="3" t="s">
        <v>129</v>
      </c>
      <c r="D13" s="2" t="s">
        <v>130</v>
      </c>
      <c r="E13" s="2" t="s">
        <v>131</v>
      </c>
      <c r="F13" s="2" t="s">
        <v>132</v>
      </c>
      <c r="G13" s="2" t="s">
        <v>133</v>
      </c>
      <c r="H13" s="2" t="s">
        <v>134</v>
      </c>
      <c r="I13" s="4" t="s">
        <v>135</v>
      </c>
      <c r="J13" s="5">
        <v>132549</v>
      </c>
      <c r="K13" s="6">
        <v>0.19</v>
      </c>
      <c r="L13" s="7">
        <f t="shared" si="0"/>
        <v>25184.31</v>
      </c>
      <c r="M13" s="8">
        <f t="shared" si="1"/>
        <v>157733.31</v>
      </c>
      <c r="N13" s="3" t="s">
        <v>136</v>
      </c>
      <c r="O13" s="2" t="s">
        <v>137</v>
      </c>
    </row>
    <row r="14" spans="1:15" x14ac:dyDescent="0.25">
      <c r="A14" s="2" t="s">
        <v>88</v>
      </c>
      <c r="B14" s="2" t="s">
        <v>138</v>
      </c>
      <c r="C14" s="3" t="s">
        <v>139</v>
      </c>
      <c r="D14" s="2" t="s">
        <v>140</v>
      </c>
      <c r="E14" s="2" t="s">
        <v>141</v>
      </c>
      <c r="F14" s="2" t="s">
        <v>142</v>
      </c>
      <c r="G14" s="2" t="s">
        <v>143</v>
      </c>
      <c r="H14" s="2" t="s">
        <v>144</v>
      </c>
      <c r="I14" s="4" t="s">
        <v>145</v>
      </c>
      <c r="J14" s="5">
        <v>48610.400000000001</v>
      </c>
      <c r="K14" s="6">
        <v>0.19</v>
      </c>
      <c r="L14" s="7">
        <f t="shared" si="0"/>
        <v>9235.98</v>
      </c>
      <c r="M14" s="8">
        <f t="shared" si="1"/>
        <v>57846.38</v>
      </c>
      <c r="N14" s="3" t="s">
        <v>146</v>
      </c>
      <c r="O14" s="2" t="s">
        <v>147</v>
      </c>
    </row>
    <row r="15" spans="1:15" x14ac:dyDescent="0.25">
      <c r="A15" s="2" t="s">
        <v>36</v>
      </c>
      <c r="B15" s="2" t="s">
        <v>148</v>
      </c>
      <c r="C15" s="3" t="s">
        <v>99</v>
      </c>
      <c r="D15" s="2" t="s">
        <v>100</v>
      </c>
      <c r="E15" s="2" t="s">
        <v>149</v>
      </c>
      <c r="F15" s="2" t="s">
        <v>150</v>
      </c>
      <c r="G15" s="2" t="s">
        <v>151</v>
      </c>
      <c r="H15" s="2" t="s">
        <v>152</v>
      </c>
      <c r="I15" s="4" t="s">
        <v>153</v>
      </c>
      <c r="J15" s="5">
        <v>11671.6</v>
      </c>
      <c r="K15" s="6">
        <v>0.19</v>
      </c>
      <c r="L15" s="7">
        <f t="shared" si="0"/>
        <v>2217.6</v>
      </c>
      <c r="M15" s="8">
        <f t="shared" si="1"/>
        <v>13889.2</v>
      </c>
      <c r="N15" s="3" t="s">
        <v>154</v>
      </c>
      <c r="O15" s="2" t="s">
        <v>155</v>
      </c>
    </row>
    <row r="16" spans="1:15" x14ac:dyDescent="0.25">
      <c r="A16" s="2" t="s">
        <v>15</v>
      </c>
      <c r="B16" s="2" t="s">
        <v>156</v>
      </c>
      <c r="C16" s="3" t="s">
        <v>157</v>
      </c>
      <c r="D16" s="2" t="s">
        <v>100</v>
      </c>
      <c r="E16" s="2" t="s">
        <v>158</v>
      </c>
      <c r="F16" s="2" t="s">
        <v>102</v>
      </c>
      <c r="G16" s="2" t="s">
        <v>159</v>
      </c>
      <c r="H16" s="2" t="s">
        <v>160</v>
      </c>
      <c r="I16" s="4" t="s">
        <v>161</v>
      </c>
      <c r="J16" s="5">
        <v>86244</v>
      </c>
      <c r="K16" s="6">
        <v>0.19</v>
      </c>
      <c r="L16" s="7">
        <f t="shared" si="0"/>
        <v>16386.36</v>
      </c>
      <c r="M16" s="8">
        <f t="shared" si="1"/>
        <v>102630.36</v>
      </c>
      <c r="N16" s="3" t="s">
        <v>162</v>
      </c>
      <c r="O16" s="2" t="s">
        <v>163</v>
      </c>
    </row>
    <row r="17" spans="1:15" x14ac:dyDescent="0.25">
      <c r="A17" s="2" t="s">
        <v>47</v>
      </c>
      <c r="B17" s="2" t="s">
        <v>164</v>
      </c>
      <c r="C17" s="3" t="s">
        <v>165</v>
      </c>
      <c r="D17" s="2" t="s">
        <v>166</v>
      </c>
      <c r="E17" s="2" t="s">
        <v>167</v>
      </c>
      <c r="F17" s="2" t="s">
        <v>20</v>
      </c>
      <c r="G17" s="2" t="s">
        <v>168</v>
      </c>
      <c r="H17" s="2" t="s">
        <v>169</v>
      </c>
      <c r="I17" s="4" t="s">
        <v>170</v>
      </c>
      <c r="J17" s="5">
        <v>24130</v>
      </c>
      <c r="K17" s="6">
        <v>0.19</v>
      </c>
      <c r="L17" s="7">
        <f t="shared" si="0"/>
        <v>4584.7</v>
      </c>
      <c r="M17" s="8">
        <f t="shared" si="1"/>
        <v>28714.7</v>
      </c>
      <c r="N17" s="3" t="s">
        <v>154</v>
      </c>
      <c r="O17" s="2" t="s">
        <v>171</v>
      </c>
    </row>
    <row r="18" spans="1:15" x14ac:dyDescent="0.25">
      <c r="A18" s="2" t="s">
        <v>172</v>
      </c>
      <c r="B18" s="2" t="s">
        <v>173</v>
      </c>
      <c r="C18" s="3" t="s">
        <v>174</v>
      </c>
      <c r="D18" s="2" t="s">
        <v>175</v>
      </c>
      <c r="E18" s="2" t="s">
        <v>176</v>
      </c>
      <c r="F18" s="2" t="s">
        <v>51</v>
      </c>
      <c r="G18" s="2" t="s">
        <v>177</v>
      </c>
      <c r="H18" s="2" t="s">
        <v>178</v>
      </c>
      <c r="I18" s="4" t="s">
        <v>179</v>
      </c>
      <c r="J18" s="5">
        <v>5549</v>
      </c>
      <c r="K18" s="6">
        <v>0.19</v>
      </c>
      <c r="L18" s="7">
        <f t="shared" si="0"/>
        <v>1054.31</v>
      </c>
      <c r="M18" s="8">
        <f t="shared" si="1"/>
        <v>6603.31</v>
      </c>
      <c r="N18" s="3" t="s">
        <v>180</v>
      </c>
      <c r="O18" s="2" t="s">
        <v>181</v>
      </c>
    </row>
    <row r="19" spans="1:15" x14ac:dyDescent="0.25">
      <c r="A19" s="2" t="s">
        <v>88</v>
      </c>
      <c r="B19" s="2" t="s">
        <v>182</v>
      </c>
      <c r="C19" s="3" t="s">
        <v>183</v>
      </c>
      <c r="D19" s="2" t="s">
        <v>184</v>
      </c>
      <c r="E19" s="2" t="s">
        <v>185</v>
      </c>
      <c r="F19" s="2" t="s">
        <v>186</v>
      </c>
      <c r="G19" s="2" t="s">
        <v>187</v>
      </c>
      <c r="H19" s="2" t="s">
        <v>188</v>
      </c>
      <c r="I19" s="4" t="s">
        <v>189</v>
      </c>
      <c r="J19" s="5">
        <v>5163.6000000000004</v>
      </c>
      <c r="K19" s="6">
        <v>0.19</v>
      </c>
      <c r="L19" s="7">
        <f t="shared" si="0"/>
        <v>981.08</v>
      </c>
      <c r="M19" s="8">
        <f t="shared" si="1"/>
        <v>6144.68</v>
      </c>
      <c r="N19" s="3" t="s">
        <v>190</v>
      </c>
      <c r="O19" s="2" t="s">
        <v>191</v>
      </c>
    </row>
    <row r="20" spans="1:15" x14ac:dyDescent="0.25">
      <c r="A20" s="2" t="s">
        <v>57</v>
      </c>
      <c r="B20" s="2" t="s">
        <v>192</v>
      </c>
      <c r="C20" s="3" t="s">
        <v>193</v>
      </c>
      <c r="D20" s="2" t="s">
        <v>184</v>
      </c>
      <c r="E20" s="2" t="s">
        <v>194</v>
      </c>
      <c r="F20" s="2" t="s">
        <v>102</v>
      </c>
      <c r="G20" s="2" t="s">
        <v>195</v>
      </c>
      <c r="H20" s="2" t="s">
        <v>196</v>
      </c>
      <c r="I20" s="4" t="s">
        <v>197</v>
      </c>
      <c r="J20" s="5">
        <v>2698.4</v>
      </c>
      <c r="K20" s="6">
        <v>0.19</v>
      </c>
      <c r="L20" s="7">
        <f t="shared" si="0"/>
        <v>512.70000000000005</v>
      </c>
      <c r="M20" s="8">
        <f t="shared" si="1"/>
        <v>3211.1</v>
      </c>
      <c r="N20" s="3" t="s">
        <v>198</v>
      </c>
      <c r="O20" s="2" t="s">
        <v>199</v>
      </c>
    </row>
    <row r="21" spans="1:15" x14ac:dyDescent="0.25">
      <c r="A21" s="2" t="s">
        <v>15</v>
      </c>
      <c r="B21" s="2" t="s">
        <v>200</v>
      </c>
      <c r="C21" s="3" t="s">
        <v>201</v>
      </c>
      <c r="D21" s="2" t="s">
        <v>202</v>
      </c>
      <c r="E21" s="2" t="s">
        <v>203</v>
      </c>
      <c r="F21" s="2" t="s">
        <v>150</v>
      </c>
      <c r="G21" s="2" t="s">
        <v>204</v>
      </c>
      <c r="H21" s="2" t="s">
        <v>205</v>
      </c>
      <c r="I21" s="4" t="s">
        <v>206</v>
      </c>
      <c r="J21" s="5">
        <v>25323</v>
      </c>
      <c r="K21" s="6">
        <v>0.19</v>
      </c>
      <c r="L21" s="7">
        <f t="shared" si="0"/>
        <v>4811.37</v>
      </c>
      <c r="M21" s="8">
        <f t="shared" si="1"/>
        <v>30134.37</v>
      </c>
      <c r="N21" s="3" t="s">
        <v>207</v>
      </c>
      <c r="O21" s="2" t="s">
        <v>208</v>
      </c>
    </row>
    <row r="22" spans="1:15" x14ac:dyDescent="0.25">
      <c r="A22" s="2" t="s">
        <v>15</v>
      </c>
      <c r="B22" s="2" t="s">
        <v>209</v>
      </c>
      <c r="C22" s="3" t="s">
        <v>77</v>
      </c>
      <c r="D22" s="2" t="s">
        <v>210</v>
      </c>
      <c r="E22" s="2" t="s">
        <v>211</v>
      </c>
      <c r="F22" s="2" t="s">
        <v>212</v>
      </c>
      <c r="G22" s="2" t="s">
        <v>213</v>
      </c>
      <c r="H22" s="2" t="s">
        <v>214</v>
      </c>
      <c r="I22" s="4" t="s">
        <v>215</v>
      </c>
      <c r="J22" s="5">
        <v>15872</v>
      </c>
      <c r="K22" s="6">
        <v>0.19</v>
      </c>
      <c r="L22" s="7">
        <f t="shared" si="0"/>
        <v>3015.68</v>
      </c>
      <c r="M22" s="8">
        <f t="shared" si="1"/>
        <v>18887.68</v>
      </c>
      <c r="N22" s="3" t="s">
        <v>216</v>
      </c>
      <c r="O22" s="2" t="s">
        <v>217</v>
      </c>
    </row>
    <row r="23" spans="1:15" x14ac:dyDescent="0.25">
      <c r="A23" s="2" t="s">
        <v>15</v>
      </c>
      <c r="B23" s="2" t="s">
        <v>218</v>
      </c>
      <c r="C23" s="3" t="s">
        <v>45</v>
      </c>
      <c r="D23" s="2" t="s">
        <v>219</v>
      </c>
      <c r="E23" s="2" t="s">
        <v>220</v>
      </c>
      <c r="F23" s="2" t="s">
        <v>221</v>
      </c>
      <c r="G23" s="2" t="s">
        <v>222</v>
      </c>
      <c r="H23" s="2" t="s">
        <v>223</v>
      </c>
      <c r="I23" s="4" t="s">
        <v>224</v>
      </c>
      <c r="J23" s="5">
        <v>32630</v>
      </c>
      <c r="K23" s="6">
        <v>0.19</v>
      </c>
      <c r="L23" s="7">
        <f t="shared" si="0"/>
        <v>6199.7</v>
      </c>
      <c r="M23" s="8">
        <f t="shared" si="1"/>
        <v>38829.699999999997</v>
      </c>
      <c r="N23" s="3" t="s">
        <v>225</v>
      </c>
      <c r="O23" s="2" t="s">
        <v>226</v>
      </c>
    </row>
    <row r="24" spans="1:15" x14ac:dyDescent="0.25">
      <c r="A24" s="2" t="s">
        <v>15</v>
      </c>
      <c r="B24" s="2" t="s">
        <v>227</v>
      </c>
      <c r="C24" s="3" t="s">
        <v>228</v>
      </c>
      <c r="D24" s="2" t="s">
        <v>229</v>
      </c>
      <c r="E24" s="2" t="s">
        <v>230</v>
      </c>
      <c r="F24" s="2" t="s">
        <v>231</v>
      </c>
      <c r="G24" s="2" t="s">
        <v>232</v>
      </c>
      <c r="H24" s="2" t="s">
        <v>233</v>
      </c>
      <c r="I24" s="4" t="s">
        <v>234</v>
      </c>
      <c r="J24" s="5">
        <v>56160</v>
      </c>
      <c r="K24" s="6">
        <v>0.19</v>
      </c>
      <c r="L24" s="7">
        <f t="shared" si="0"/>
        <v>10670.4</v>
      </c>
      <c r="M24" s="8">
        <f t="shared" si="1"/>
        <v>66830.399999999994</v>
      </c>
      <c r="N24" s="3" t="s">
        <v>235</v>
      </c>
      <c r="O24" s="2" t="s">
        <v>236</v>
      </c>
    </row>
    <row r="25" spans="1:15" x14ac:dyDescent="0.25">
      <c r="A25" s="2" t="s">
        <v>47</v>
      </c>
      <c r="B25" s="2" t="s">
        <v>237</v>
      </c>
      <c r="C25" s="3" t="s">
        <v>238</v>
      </c>
      <c r="D25" s="2" t="s">
        <v>239</v>
      </c>
      <c r="E25" s="2" t="s">
        <v>240</v>
      </c>
      <c r="F25" s="2" t="s">
        <v>241</v>
      </c>
      <c r="G25" s="2" t="s">
        <v>242</v>
      </c>
      <c r="H25" s="2" t="s">
        <v>243</v>
      </c>
      <c r="I25" s="4" t="s">
        <v>244</v>
      </c>
      <c r="J25" s="5">
        <v>5305</v>
      </c>
      <c r="K25" s="6">
        <v>0.19</v>
      </c>
      <c r="L25" s="7">
        <f t="shared" si="0"/>
        <v>1007.95</v>
      </c>
      <c r="M25" s="8">
        <f t="shared" si="1"/>
        <v>6312.95</v>
      </c>
      <c r="N25" s="3" t="s">
        <v>201</v>
      </c>
      <c r="O25" s="2" t="s">
        <v>245</v>
      </c>
    </row>
    <row r="26" spans="1:15" x14ac:dyDescent="0.25">
      <c r="A26" s="2" t="s">
        <v>88</v>
      </c>
      <c r="B26" s="2" t="s">
        <v>246</v>
      </c>
      <c r="C26" s="3" t="s">
        <v>247</v>
      </c>
      <c r="D26" s="2" t="s">
        <v>248</v>
      </c>
      <c r="E26" s="2" t="s">
        <v>249</v>
      </c>
      <c r="F26" s="2" t="s">
        <v>41</v>
      </c>
      <c r="G26" s="2" t="s">
        <v>250</v>
      </c>
      <c r="H26" s="2" t="s">
        <v>251</v>
      </c>
      <c r="I26" s="4" t="s">
        <v>252</v>
      </c>
      <c r="J26" s="5">
        <v>11794</v>
      </c>
      <c r="K26" s="6">
        <v>0.19</v>
      </c>
      <c r="L26" s="7">
        <f t="shared" si="0"/>
        <v>2240.86</v>
      </c>
      <c r="M26" s="8">
        <f t="shared" si="1"/>
        <v>14034.86</v>
      </c>
      <c r="N26" s="3" t="s">
        <v>253</v>
      </c>
      <c r="O26" s="2" t="s">
        <v>254</v>
      </c>
    </row>
    <row r="27" spans="1:15" x14ac:dyDescent="0.25">
      <c r="A27" s="2" t="s">
        <v>68</v>
      </c>
      <c r="B27" s="2" t="s">
        <v>255</v>
      </c>
      <c r="C27" s="3" t="s">
        <v>190</v>
      </c>
      <c r="D27" s="2" t="s">
        <v>256</v>
      </c>
      <c r="E27" s="2" t="s">
        <v>257</v>
      </c>
      <c r="F27" s="2" t="s">
        <v>51</v>
      </c>
      <c r="G27" s="2" t="s">
        <v>258</v>
      </c>
      <c r="H27" s="2" t="s">
        <v>259</v>
      </c>
      <c r="I27" s="4" t="s">
        <v>260</v>
      </c>
      <c r="J27" s="5">
        <v>20204</v>
      </c>
      <c r="K27" s="6">
        <v>0.19</v>
      </c>
      <c r="L27" s="7">
        <f t="shared" si="0"/>
        <v>3838.76</v>
      </c>
      <c r="M27" s="8">
        <f t="shared" si="1"/>
        <v>24042.76</v>
      </c>
      <c r="N27" s="3" t="s">
        <v>201</v>
      </c>
      <c r="O27" s="2" t="s">
        <v>261</v>
      </c>
    </row>
    <row r="28" spans="1:15" x14ac:dyDescent="0.25">
      <c r="A28" s="2" t="s">
        <v>68</v>
      </c>
      <c r="B28" s="2" t="s">
        <v>262</v>
      </c>
      <c r="C28" s="3" t="s">
        <v>263</v>
      </c>
      <c r="D28" s="2" t="s">
        <v>264</v>
      </c>
      <c r="E28" s="2" t="s">
        <v>265</v>
      </c>
      <c r="F28" s="2" t="s">
        <v>41</v>
      </c>
      <c r="G28" s="2" t="s">
        <v>266</v>
      </c>
      <c r="H28" s="2" t="s">
        <v>267</v>
      </c>
      <c r="I28" s="4" t="s">
        <v>268</v>
      </c>
      <c r="J28" s="5">
        <v>48720</v>
      </c>
      <c r="K28" s="6">
        <v>0.19</v>
      </c>
      <c r="L28" s="7">
        <f t="shared" si="0"/>
        <v>9256.7999999999993</v>
      </c>
      <c r="M28" s="8">
        <f t="shared" si="1"/>
        <v>57976.800000000003</v>
      </c>
      <c r="N28" s="3" t="s">
        <v>269</v>
      </c>
      <c r="O28" s="2" t="s">
        <v>270</v>
      </c>
    </row>
    <row r="29" spans="1:15" x14ac:dyDescent="0.25">
      <c r="A29" s="2" t="s">
        <v>47</v>
      </c>
      <c r="B29" s="2" t="s">
        <v>271</v>
      </c>
      <c r="C29" s="3" t="s">
        <v>272</v>
      </c>
      <c r="D29" s="2" t="s">
        <v>273</v>
      </c>
      <c r="E29" s="2" t="s">
        <v>274</v>
      </c>
      <c r="F29" s="2" t="s">
        <v>112</v>
      </c>
      <c r="G29" s="2" t="s">
        <v>275</v>
      </c>
      <c r="H29" s="2" t="s">
        <v>276</v>
      </c>
      <c r="I29" s="4" t="s">
        <v>277</v>
      </c>
      <c r="J29" s="5">
        <v>216400</v>
      </c>
      <c r="K29" s="6">
        <v>0.19</v>
      </c>
      <c r="L29" s="7">
        <f t="shared" si="0"/>
        <v>41116</v>
      </c>
      <c r="M29" s="8">
        <f t="shared" si="1"/>
        <v>257516</v>
      </c>
      <c r="N29" s="3" t="s">
        <v>278</v>
      </c>
      <c r="O29" s="2" t="s">
        <v>279</v>
      </c>
    </row>
    <row r="30" spans="1:15" x14ac:dyDescent="0.25">
      <c r="A30" s="2" t="s">
        <v>36</v>
      </c>
      <c r="B30" s="2" t="s">
        <v>280</v>
      </c>
      <c r="C30" s="3" t="s">
        <v>281</v>
      </c>
      <c r="D30" s="2" t="s">
        <v>202</v>
      </c>
      <c r="E30" s="2" t="s">
        <v>282</v>
      </c>
      <c r="F30" s="2" t="s">
        <v>102</v>
      </c>
      <c r="G30" s="2" t="s">
        <v>283</v>
      </c>
      <c r="H30" s="2" t="s">
        <v>284</v>
      </c>
      <c r="I30" s="4" t="s">
        <v>285</v>
      </c>
      <c r="J30" s="5">
        <v>18440</v>
      </c>
      <c r="K30" s="6">
        <v>0.19</v>
      </c>
      <c r="L30" s="7">
        <f t="shared" si="0"/>
        <v>3503.6</v>
      </c>
      <c r="M30" s="8">
        <f t="shared" si="1"/>
        <v>21943.599999999999</v>
      </c>
      <c r="N30" s="3" t="s">
        <v>286</v>
      </c>
      <c r="O30" s="2" t="s">
        <v>287</v>
      </c>
    </row>
    <row r="31" spans="1:15" x14ac:dyDescent="0.25">
      <c r="A31" s="2" t="s">
        <v>57</v>
      </c>
      <c r="B31" s="2" t="s">
        <v>288</v>
      </c>
      <c r="C31" s="3" t="s">
        <v>27</v>
      </c>
      <c r="D31" s="2" t="s">
        <v>289</v>
      </c>
      <c r="E31" s="2" t="s">
        <v>290</v>
      </c>
      <c r="F31" s="2" t="s">
        <v>102</v>
      </c>
      <c r="G31" s="2" t="s">
        <v>291</v>
      </c>
      <c r="H31" s="2" t="s">
        <v>292</v>
      </c>
      <c r="I31" s="4" t="s">
        <v>293</v>
      </c>
      <c r="J31" s="5">
        <v>27033.599999999999</v>
      </c>
      <c r="K31" s="6">
        <v>0.19</v>
      </c>
      <c r="L31" s="7">
        <f t="shared" si="0"/>
        <v>5136.38</v>
      </c>
      <c r="M31" s="8">
        <f t="shared" si="1"/>
        <v>32169.98</v>
      </c>
      <c r="N31" s="3" t="s">
        <v>294</v>
      </c>
      <c r="O31" s="2" t="s">
        <v>295</v>
      </c>
    </row>
    <row r="32" spans="1:15" x14ac:dyDescent="0.25">
      <c r="A32" s="2" t="s">
        <v>57</v>
      </c>
      <c r="B32" s="2" t="s">
        <v>296</v>
      </c>
      <c r="C32" s="3" t="s">
        <v>297</v>
      </c>
      <c r="D32" s="2" t="s">
        <v>100</v>
      </c>
      <c r="E32" s="2" t="s">
        <v>298</v>
      </c>
      <c r="F32" s="2" t="s">
        <v>299</v>
      </c>
      <c r="G32" s="2" t="s">
        <v>300</v>
      </c>
      <c r="H32" s="2" t="s">
        <v>301</v>
      </c>
      <c r="I32" s="4" t="s">
        <v>302</v>
      </c>
      <c r="J32" s="5">
        <v>15394</v>
      </c>
      <c r="K32" s="6">
        <v>0.19</v>
      </c>
      <c r="L32" s="7">
        <f t="shared" si="0"/>
        <v>2924.86</v>
      </c>
      <c r="M32" s="8">
        <f t="shared" si="1"/>
        <v>18318.86</v>
      </c>
      <c r="N32" s="3" t="s">
        <v>303</v>
      </c>
      <c r="O32" s="2" t="s">
        <v>304</v>
      </c>
    </row>
    <row r="33" spans="1:15" x14ac:dyDescent="0.25">
      <c r="A33" s="2" t="s">
        <v>88</v>
      </c>
      <c r="B33" s="2" t="s">
        <v>305</v>
      </c>
      <c r="C33" s="3" t="s">
        <v>306</v>
      </c>
      <c r="D33" s="2" t="s">
        <v>307</v>
      </c>
      <c r="E33" s="2" t="s">
        <v>308</v>
      </c>
      <c r="F33" s="2" t="s">
        <v>20</v>
      </c>
      <c r="G33" s="2" t="s">
        <v>309</v>
      </c>
      <c r="H33" s="2" t="s">
        <v>310</v>
      </c>
      <c r="I33" s="4" t="s">
        <v>311</v>
      </c>
      <c r="J33" s="5">
        <v>16986</v>
      </c>
      <c r="K33" s="6">
        <v>0.19</v>
      </c>
      <c r="L33" s="7">
        <f t="shared" si="0"/>
        <v>3227.34</v>
      </c>
      <c r="M33" s="8">
        <f t="shared" si="1"/>
        <v>20213.34</v>
      </c>
      <c r="N33" s="3" t="s">
        <v>312</v>
      </c>
      <c r="O33" s="2" t="s">
        <v>313</v>
      </c>
    </row>
    <row r="34" spans="1:15" x14ac:dyDescent="0.25">
      <c r="A34" s="2" t="s">
        <v>172</v>
      </c>
      <c r="B34" s="2" t="s">
        <v>314</v>
      </c>
      <c r="C34" s="3" t="s">
        <v>315</v>
      </c>
      <c r="D34" s="2" t="s">
        <v>316</v>
      </c>
      <c r="E34" s="2" t="s">
        <v>317</v>
      </c>
      <c r="F34" s="2" t="s">
        <v>20</v>
      </c>
      <c r="G34" s="2" t="s">
        <v>318</v>
      </c>
      <c r="H34" s="2" t="s">
        <v>319</v>
      </c>
      <c r="I34" s="4" t="s">
        <v>320</v>
      </c>
      <c r="J34" s="5">
        <v>4905.2</v>
      </c>
      <c r="K34" s="6">
        <v>0.19</v>
      </c>
      <c r="L34" s="7">
        <f t="shared" ref="L34:L65" si="2">ROUND(J34*K34,2)</f>
        <v>931.99</v>
      </c>
      <c r="M34" s="8">
        <f t="shared" ref="M34:M65" si="3">ROUND(J34+L34,2)</f>
        <v>5837.19</v>
      </c>
      <c r="N34" s="3" t="s">
        <v>321</v>
      </c>
      <c r="O34" s="2" t="s">
        <v>322</v>
      </c>
    </row>
    <row r="35" spans="1:15" x14ac:dyDescent="0.25">
      <c r="A35" s="2" t="s">
        <v>47</v>
      </c>
      <c r="B35" s="2" t="s">
        <v>323</v>
      </c>
      <c r="C35" s="3" t="s">
        <v>324</v>
      </c>
      <c r="D35" s="2" t="s">
        <v>325</v>
      </c>
      <c r="E35" s="2" t="s">
        <v>326</v>
      </c>
      <c r="F35" s="2" t="s">
        <v>327</v>
      </c>
      <c r="G35" s="2" t="s">
        <v>328</v>
      </c>
      <c r="H35" s="2" t="s">
        <v>329</v>
      </c>
      <c r="I35" s="4" t="s">
        <v>330</v>
      </c>
      <c r="J35" s="5">
        <v>11928</v>
      </c>
      <c r="K35" s="6">
        <v>0.19</v>
      </c>
      <c r="L35" s="7">
        <f t="shared" si="2"/>
        <v>2266.3200000000002</v>
      </c>
      <c r="M35" s="8">
        <f t="shared" si="3"/>
        <v>14194.32</v>
      </c>
      <c r="N35" s="3" t="s">
        <v>331</v>
      </c>
      <c r="O35" s="2" t="s">
        <v>332</v>
      </c>
    </row>
    <row r="36" spans="1:15" x14ac:dyDescent="0.25">
      <c r="A36" s="2" t="s">
        <v>88</v>
      </c>
      <c r="B36" s="2" t="s">
        <v>333</v>
      </c>
      <c r="C36" s="3" t="s">
        <v>334</v>
      </c>
      <c r="D36" s="2" t="s">
        <v>335</v>
      </c>
      <c r="E36" s="2" t="s">
        <v>336</v>
      </c>
      <c r="F36" s="2" t="s">
        <v>337</v>
      </c>
      <c r="G36" s="2" t="s">
        <v>338</v>
      </c>
      <c r="H36" s="2" t="s">
        <v>339</v>
      </c>
      <c r="I36" s="4" t="s">
        <v>340</v>
      </c>
      <c r="J36" s="5">
        <v>11070</v>
      </c>
      <c r="K36" s="6">
        <v>0.19</v>
      </c>
      <c r="L36" s="7">
        <f t="shared" si="2"/>
        <v>2103.3000000000002</v>
      </c>
      <c r="M36" s="8">
        <f t="shared" si="3"/>
        <v>13173.3</v>
      </c>
      <c r="N36" s="3" t="s">
        <v>341</v>
      </c>
      <c r="O36" s="2" t="s">
        <v>342</v>
      </c>
    </row>
    <row r="37" spans="1:15" x14ac:dyDescent="0.25">
      <c r="A37" s="2" t="s">
        <v>15</v>
      </c>
      <c r="B37" s="2" t="s">
        <v>343</v>
      </c>
      <c r="C37" s="3" t="s">
        <v>344</v>
      </c>
      <c r="D37" s="2" t="s">
        <v>219</v>
      </c>
      <c r="E37" s="2" t="s">
        <v>345</v>
      </c>
      <c r="F37" s="2" t="s">
        <v>346</v>
      </c>
      <c r="G37" s="2" t="s">
        <v>347</v>
      </c>
      <c r="H37" s="2" t="s">
        <v>348</v>
      </c>
      <c r="I37" s="4" t="s">
        <v>349</v>
      </c>
      <c r="J37" s="5">
        <v>5144</v>
      </c>
      <c r="K37" s="6">
        <v>0.19</v>
      </c>
      <c r="L37" s="7">
        <f t="shared" si="2"/>
        <v>977.36</v>
      </c>
      <c r="M37" s="8">
        <f t="shared" si="3"/>
        <v>6121.36</v>
      </c>
      <c r="N37" s="3" t="s">
        <v>350</v>
      </c>
      <c r="O37" s="2" t="s">
        <v>351</v>
      </c>
    </row>
    <row r="38" spans="1:15" x14ac:dyDescent="0.25">
      <c r="A38" s="2" t="s">
        <v>47</v>
      </c>
      <c r="B38" s="2" t="s">
        <v>352</v>
      </c>
      <c r="C38" s="3" t="s">
        <v>353</v>
      </c>
      <c r="D38" s="2" t="s">
        <v>354</v>
      </c>
      <c r="E38" s="2" t="s">
        <v>355</v>
      </c>
      <c r="F38" s="2" t="s">
        <v>51</v>
      </c>
      <c r="G38" s="2" t="s">
        <v>356</v>
      </c>
      <c r="H38" s="2" t="s">
        <v>357</v>
      </c>
      <c r="I38" s="4" t="s">
        <v>358</v>
      </c>
      <c r="J38" s="5">
        <v>33334</v>
      </c>
      <c r="K38" s="6">
        <v>0.19</v>
      </c>
      <c r="L38" s="7">
        <f t="shared" si="2"/>
        <v>6333.46</v>
      </c>
      <c r="M38" s="8">
        <f t="shared" si="3"/>
        <v>39667.46</v>
      </c>
      <c r="N38" s="3" t="s">
        <v>359</v>
      </c>
      <c r="O38" s="2" t="s">
        <v>360</v>
      </c>
    </row>
    <row r="39" spans="1:15" x14ac:dyDescent="0.25">
      <c r="A39" s="2" t="s">
        <v>15</v>
      </c>
      <c r="B39" s="2" t="s">
        <v>361</v>
      </c>
      <c r="C39" s="3" t="s">
        <v>362</v>
      </c>
      <c r="D39" s="2" t="s">
        <v>363</v>
      </c>
      <c r="E39" s="2" t="s">
        <v>364</v>
      </c>
      <c r="F39" s="2" t="s">
        <v>51</v>
      </c>
      <c r="G39" s="2" t="s">
        <v>365</v>
      </c>
      <c r="H39" s="2" t="s">
        <v>366</v>
      </c>
      <c r="I39" s="4" t="s">
        <v>367</v>
      </c>
      <c r="J39" s="5">
        <v>33362</v>
      </c>
      <c r="K39" s="6">
        <v>0.19</v>
      </c>
      <c r="L39" s="7">
        <f t="shared" si="2"/>
        <v>6338.78</v>
      </c>
      <c r="M39" s="8">
        <f t="shared" si="3"/>
        <v>39700.78</v>
      </c>
      <c r="N39" s="3" t="s">
        <v>368</v>
      </c>
      <c r="O39" s="2" t="s">
        <v>369</v>
      </c>
    </row>
    <row r="40" spans="1:15" x14ac:dyDescent="0.25">
      <c r="A40" s="2" t="s">
        <v>57</v>
      </c>
      <c r="B40" s="2" t="s">
        <v>370</v>
      </c>
      <c r="C40" s="3" t="s">
        <v>371</v>
      </c>
      <c r="D40" s="2" t="s">
        <v>372</v>
      </c>
      <c r="E40" s="2" t="s">
        <v>373</v>
      </c>
      <c r="F40" s="2" t="s">
        <v>374</v>
      </c>
      <c r="G40" s="2" t="s">
        <v>375</v>
      </c>
      <c r="H40" s="2" t="s">
        <v>376</v>
      </c>
      <c r="I40" s="4" t="s">
        <v>377</v>
      </c>
      <c r="J40" s="5">
        <v>7556</v>
      </c>
      <c r="K40" s="6">
        <v>0.19</v>
      </c>
      <c r="L40" s="7">
        <f t="shared" si="2"/>
        <v>1435.64</v>
      </c>
      <c r="M40" s="8">
        <f t="shared" si="3"/>
        <v>8991.64</v>
      </c>
      <c r="N40" s="3" t="s">
        <v>378</v>
      </c>
      <c r="O40" s="2" t="s">
        <v>379</v>
      </c>
    </row>
    <row r="41" spans="1:15" x14ac:dyDescent="0.25">
      <c r="A41" s="2" t="s">
        <v>47</v>
      </c>
      <c r="B41" s="2" t="s">
        <v>380</v>
      </c>
      <c r="C41" s="3" t="s">
        <v>381</v>
      </c>
      <c r="D41" s="2" t="s">
        <v>382</v>
      </c>
      <c r="E41" s="2" t="s">
        <v>383</v>
      </c>
      <c r="F41" s="2" t="s">
        <v>102</v>
      </c>
      <c r="G41" s="2" t="s">
        <v>384</v>
      </c>
      <c r="H41" s="2" t="s">
        <v>385</v>
      </c>
      <c r="I41" s="4" t="s">
        <v>386</v>
      </c>
      <c r="J41" s="5">
        <v>12268</v>
      </c>
      <c r="K41" s="6">
        <v>0.19</v>
      </c>
      <c r="L41" s="7">
        <f t="shared" si="2"/>
        <v>2330.92</v>
      </c>
      <c r="M41" s="8">
        <f t="shared" si="3"/>
        <v>14598.92</v>
      </c>
      <c r="N41" s="3" t="s">
        <v>387</v>
      </c>
      <c r="O41" s="2" t="s">
        <v>388</v>
      </c>
    </row>
    <row r="42" spans="1:15" x14ac:dyDescent="0.25">
      <c r="A42" s="2" t="s">
        <v>47</v>
      </c>
      <c r="B42" s="2" t="s">
        <v>389</v>
      </c>
      <c r="C42" s="3" t="s">
        <v>390</v>
      </c>
      <c r="D42" s="2" t="s">
        <v>391</v>
      </c>
      <c r="E42" s="2" t="s">
        <v>392</v>
      </c>
      <c r="F42" s="2" t="s">
        <v>20</v>
      </c>
      <c r="G42" s="2" t="s">
        <v>393</v>
      </c>
      <c r="H42" s="2" t="s">
        <v>394</v>
      </c>
      <c r="I42" s="4" t="s">
        <v>395</v>
      </c>
      <c r="J42" s="5">
        <v>11097.6</v>
      </c>
      <c r="K42" s="6">
        <v>0.19</v>
      </c>
      <c r="L42" s="7">
        <f t="shared" si="2"/>
        <v>2108.54</v>
      </c>
      <c r="M42" s="8">
        <f t="shared" si="3"/>
        <v>13206.14</v>
      </c>
      <c r="N42" s="3" t="s">
        <v>396</v>
      </c>
      <c r="O42" s="2" t="s">
        <v>397</v>
      </c>
    </row>
    <row r="43" spans="1:15" x14ac:dyDescent="0.25">
      <c r="A43" s="2" t="s">
        <v>88</v>
      </c>
      <c r="B43" s="2" t="s">
        <v>398</v>
      </c>
      <c r="C43" s="3" t="s">
        <v>399</v>
      </c>
      <c r="D43" s="2" t="s">
        <v>400</v>
      </c>
      <c r="E43" s="2" t="s">
        <v>401</v>
      </c>
      <c r="F43" s="2" t="s">
        <v>20</v>
      </c>
      <c r="G43" s="2" t="s">
        <v>402</v>
      </c>
      <c r="H43" s="2" t="s">
        <v>403</v>
      </c>
      <c r="I43" s="4" t="s">
        <v>404</v>
      </c>
      <c r="J43" s="5">
        <v>11826</v>
      </c>
      <c r="K43" s="6">
        <v>0.19</v>
      </c>
      <c r="L43" s="7">
        <f t="shared" si="2"/>
        <v>2246.94</v>
      </c>
      <c r="M43" s="8">
        <f t="shared" si="3"/>
        <v>14072.94</v>
      </c>
      <c r="N43" s="3" t="s">
        <v>405</v>
      </c>
      <c r="O43" s="2" t="s">
        <v>406</v>
      </c>
    </row>
    <row r="44" spans="1:15" x14ac:dyDescent="0.25">
      <c r="A44" s="2" t="s">
        <v>88</v>
      </c>
      <c r="B44" s="2" t="s">
        <v>407</v>
      </c>
      <c r="C44" s="3" t="s">
        <v>408</v>
      </c>
      <c r="D44" s="2" t="s">
        <v>409</v>
      </c>
      <c r="E44" s="2" t="s">
        <v>410</v>
      </c>
      <c r="F44" s="2" t="s">
        <v>20</v>
      </c>
      <c r="G44" s="2" t="s">
        <v>411</v>
      </c>
      <c r="H44" s="2" t="s">
        <v>412</v>
      </c>
      <c r="I44" s="4" t="s">
        <v>413</v>
      </c>
      <c r="J44" s="5">
        <v>39872</v>
      </c>
      <c r="K44" s="6">
        <v>0.19</v>
      </c>
      <c r="L44" s="7">
        <f t="shared" si="2"/>
        <v>7575.68</v>
      </c>
      <c r="M44" s="8">
        <f t="shared" si="3"/>
        <v>47447.68</v>
      </c>
      <c r="N44" s="3" t="s">
        <v>146</v>
      </c>
      <c r="O44" s="2" t="s">
        <v>414</v>
      </c>
    </row>
    <row r="45" spans="1:15" x14ac:dyDescent="0.25">
      <c r="A45" s="2" t="s">
        <v>88</v>
      </c>
      <c r="B45" s="2" t="s">
        <v>415</v>
      </c>
      <c r="C45" s="3" t="s">
        <v>416</v>
      </c>
      <c r="D45" s="2" t="s">
        <v>417</v>
      </c>
      <c r="E45" s="2" t="s">
        <v>418</v>
      </c>
      <c r="F45" s="2" t="s">
        <v>20</v>
      </c>
      <c r="G45" s="2" t="s">
        <v>419</v>
      </c>
      <c r="H45" s="2" t="s">
        <v>420</v>
      </c>
      <c r="I45" s="4" t="s">
        <v>421</v>
      </c>
      <c r="J45" s="5">
        <v>72480</v>
      </c>
      <c r="K45" s="6">
        <v>0.19</v>
      </c>
      <c r="L45" s="7">
        <f t="shared" si="2"/>
        <v>13771.2</v>
      </c>
      <c r="M45" s="8">
        <f t="shared" si="3"/>
        <v>86251.199999999997</v>
      </c>
      <c r="N45" s="3" t="s">
        <v>174</v>
      </c>
      <c r="O45" s="2" t="s">
        <v>422</v>
      </c>
    </row>
    <row r="46" spans="1:15" x14ac:dyDescent="0.25">
      <c r="A46" s="2" t="s">
        <v>15</v>
      </c>
      <c r="B46" s="2" t="s">
        <v>423</v>
      </c>
      <c r="C46" s="3" t="s">
        <v>424</v>
      </c>
      <c r="D46" s="2" t="s">
        <v>425</v>
      </c>
      <c r="E46" s="2" t="s">
        <v>426</v>
      </c>
      <c r="F46" s="2" t="s">
        <v>427</v>
      </c>
      <c r="G46" s="2" t="s">
        <v>428</v>
      </c>
      <c r="H46" s="2" t="s">
        <v>429</v>
      </c>
      <c r="I46" s="4" t="s">
        <v>430</v>
      </c>
      <c r="J46" s="5">
        <v>33000</v>
      </c>
      <c r="K46" s="6">
        <v>0.19</v>
      </c>
      <c r="L46" s="7">
        <f t="shared" si="2"/>
        <v>6270</v>
      </c>
      <c r="M46" s="8">
        <f t="shared" si="3"/>
        <v>39270</v>
      </c>
      <c r="N46" s="3" t="s">
        <v>431</v>
      </c>
      <c r="O46" s="2" t="s">
        <v>432</v>
      </c>
    </row>
    <row r="47" spans="1:15" x14ac:dyDescent="0.25">
      <c r="A47" s="2" t="s">
        <v>36</v>
      </c>
      <c r="B47" s="2" t="s">
        <v>433</v>
      </c>
      <c r="C47" s="3" t="s">
        <v>434</v>
      </c>
      <c r="D47" s="2" t="s">
        <v>435</v>
      </c>
      <c r="E47" s="2" t="s">
        <v>436</v>
      </c>
      <c r="F47" s="2" t="s">
        <v>437</v>
      </c>
      <c r="G47" s="2" t="s">
        <v>438</v>
      </c>
      <c r="H47" s="2" t="s">
        <v>439</v>
      </c>
      <c r="I47" s="4" t="s">
        <v>440</v>
      </c>
      <c r="J47" s="5">
        <v>35050</v>
      </c>
      <c r="K47" s="6">
        <v>0.19</v>
      </c>
      <c r="L47" s="7">
        <f t="shared" si="2"/>
        <v>6659.5</v>
      </c>
      <c r="M47" s="8">
        <f t="shared" si="3"/>
        <v>41709.5</v>
      </c>
      <c r="N47" s="3" t="s">
        <v>90</v>
      </c>
      <c r="O47" s="2" t="s">
        <v>441</v>
      </c>
    </row>
    <row r="48" spans="1:15" x14ac:dyDescent="0.25">
      <c r="A48" s="2" t="s">
        <v>15</v>
      </c>
      <c r="B48" s="2" t="s">
        <v>442</v>
      </c>
      <c r="C48" s="3" t="s">
        <v>443</v>
      </c>
      <c r="D48" s="2" t="s">
        <v>444</v>
      </c>
      <c r="E48" s="2" t="s">
        <v>445</v>
      </c>
      <c r="F48" s="2" t="s">
        <v>20</v>
      </c>
      <c r="G48" s="2" t="s">
        <v>446</v>
      </c>
      <c r="H48" s="2" t="s">
        <v>447</v>
      </c>
      <c r="I48" s="4" t="s">
        <v>448</v>
      </c>
      <c r="J48" s="5">
        <v>93624</v>
      </c>
      <c r="K48" s="6">
        <v>0.19</v>
      </c>
      <c r="L48" s="7">
        <f t="shared" si="2"/>
        <v>17788.560000000001</v>
      </c>
      <c r="M48" s="8">
        <f t="shared" si="3"/>
        <v>111412.56</v>
      </c>
      <c r="N48" s="3" t="s">
        <v>449</v>
      </c>
      <c r="O48" s="2" t="s">
        <v>450</v>
      </c>
    </row>
    <row r="49" spans="1:15" x14ac:dyDescent="0.25">
      <c r="A49" s="2" t="s">
        <v>57</v>
      </c>
      <c r="B49" s="2" t="s">
        <v>451</v>
      </c>
      <c r="C49" s="3" t="s">
        <v>452</v>
      </c>
      <c r="D49" s="2" t="s">
        <v>39</v>
      </c>
      <c r="E49" s="2" t="s">
        <v>453</v>
      </c>
      <c r="F49" s="2" t="s">
        <v>102</v>
      </c>
      <c r="G49" s="2" t="s">
        <v>454</v>
      </c>
      <c r="H49" s="2" t="s">
        <v>455</v>
      </c>
      <c r="I49" s="4" t="s">
        <v>456</v>
      </c>
      <c r="J49" s="5">
        <v>7228</v>
      </c>
      <c r="K49" s="6">
        <v>0.19</v>
      </c>
      <c r="L49" s="7">
        <f t="shared" si="2"/>
        <v>1373.32</v>
      </c>
      <c r="M49" s="8">
        <f t="shared" si="3"/>
        <v>8601.32</v>
      </c>
      <c r="N49" s="3" t="s">
        <v>457</v>
      </c>
      <c r="O49" s="2" t="s">
        <v>458</v>
      </c>
    </row>
    <row r="50" spans="1:15" x14ac:dyDescent="0.25">
      <c r="A50" s="2" t="s">
        <v>172</v>
      </c>
      <c r="B50" s="2" t="s">
        <v>459</v>
      </c>
      <c r="C50" s="3" t="s">
        <v>460</v>
      </c>
      <c r="D50" s="2" t="s">
        <v>461</v>
      </c>
      <c r="E50" s="2" t="s">
        <v>462</v>
      </c>
      <c r="F50" s="2" t="s">
        <v>463</v>
      </c>
      <c r="G50" s="2" t="s">
        <v>464</v>
      </c>
      <c r="H50" s="2" t="s">
        <v>465</v>
      </c>
      <c r="I50" s="4" t="s">
        <v>466</v>
      </c>
      <c r="J50" s="5">
        <v>24384</v>
      </c>
      <c r="K50" s="6">
        <v>0.19</v>
      </c>
      <c r="L50" s="7">
        <f t="shared" si="2"/>
        <v>4632.96</v>
      </c>
      <c r="M50" s="8">
        <f t="shared" si="3"/>
        <v>29016.959999999999</v>
      </c>
      <c r="N50" s="3" t="s">
        <v>467</v>
      </c>
      <c r="O50" s="2" t="s">
        <v>468</v>
      </c>
    </row>
    <row r="51" spans="1:15" x14ac:dyDescent="0.25">
      <c r="A51" s="2" t="s">
        <v>68</v>
      </c>
      <c r="B51" s="2" t="s">
        <v>469</v>
      </c>
      <c r="C51" s="3" t="s">
        <v>470</v>
      </c>
      <c r="D51" s="2" t="s">
        <v>471</v>
      </c>
      <c r="E51" s="2" t="s">
        <v>472</v>
      </c>
      <c r="F51" s="2" t="s">
        <v>41</v>
      </c>
      <c r="G51" s="2" t="s">
        <v>473</v>
      </c>
      <c r="H51" s="2" t="s">
        <v>474</v>
      </c>
      <c r="I51" s="4" t="s">
        <v>475</v>
      </c>
      <c r="J51" s="5">
        <v>40400</v>
      </c>
      <c r="K51" s="6">
        <v>0.19</v>
      </c>
      <c r="L51" s="7">
        <f t="shared" si="2"/>
        <v>7676</v>
      </c>
      <c r="M51" s="8">
        <f t="shared" si="3"/>
        <v>48076</v>
      </c>
      <c r="N51" s="3" t="s">
        <v>476</v>
      </c>
      <c r="O51" s="2" t="s">
        <v>477</v>
      </c>
    </row>
    <row r="52" spans="1:15" x14ac:dyDescent="0.25">
      <c r="A52" s="2" t="s">
        <v>47</v>
      </c>
      <c r="B52" s="2" t="s">
        <v>478</v>
      </c>
      <c r="C52" s="3" t="s">
        <v>479</v>
      </c>
      <c r="D52" s="2" t="s">
        <v>273</v>
      </c>
      <c r="E52" s="2" t="s">
        <v>480</v>
      </c>
      <c r="F52" s="2" t="s">
        <v>481</v>
      </c>
      <c r="G52" s="2" t="s">
        <v>482</v>
      </c>
      <c r="H52" s="2" t="s">
        <v>483</v>
      </c>
      <c r="I52" s="4" t="s">
        <v>484</v>
      </c>
      <c r="J52" s="5">
        <v>16072</v>
      </c>
      <c r="K52" s="6">
        <v>7.0000000000000007E-2</v>
      </c>
      <c r="L52" s="7">
        <f t="shared" si="2"/>
        <v>1125.04</v>
      </c>
      <c r="M52" s="8">
        <f t="shared" si="3"/>
        <v>17197.04</v>
      </c>
      <c r="N52" s="3" t="s">
        <v>381</v>
      </c>
      <c r="O52" s="2" t="s">
        <v>485</v>
      </c>
    </row>
    <row r="53" spans="1:15" x14ac:dyDescent="0.25">
      <c r="A53" s="2" t="s">
        <v>68</v>
      </c>
      <c r="B53" s="2" t="s">
        <v>486</v>
      </c>
      <c r="C53" s="3" t="s">
        <v>487</v>
      </c>
      <c r="D53" s="2" t="s">
        <v>488</v>
      </c>
      <c r="E53" s="2" t="s">
        <v>489</v>
      </c>
      <c r="F53" s="2" t="s">
        <v>20</v>
      </c>
      <c r="G53" s="2" t="s">
        <v>490</v>
      </c>
      <c r="H53" s="2" t="s">
        <v>491</v>
      </c>
      <c r="I53" s="4" t="s">
        <v>492</v>
      </c>
      <c r="J53" s="5">
        <v>23900</v>
      </c>
      <c r="K53" s="6">
        <v>0.19</v>
      </c>
      <c r="L53" s="7">
        <f t="shared" si="2"/>
        <v>4541</v>
      </c>
      <c r="M53" s="8">
        <f t="shared" si="3"/>
        <v>28441</v>
      </c>
      <c r="N53" s="3" t="s">
        <v>493</v>
      </c>
      <c r="O53" s="2" t="s">
        <v>494</v>
      </c>
    </row>
    <row r="54" spans="1:15" x14ac:dyDescent="0.25">
      <c r="A54" s="2" t="s">
        <v>47</v>
      </c>
      <c r="B54" s="2" t="s">
        <v>495</v>
      </c>
      <c r="C54" s="3" t="s">
        <v>27</v>
      </c>
      <c r="D54" s="2" t="s">
        <v>289</v>
      </c>
      <c r="E54" s="2" t="s">
        <v>496</v>
      </c>
      <c r="F54" s="2" t="s">
        <v>497</v>
      </c>
      <c r="G54" s="2" t="s">
        <v>498</v>
      </c>
      <c r="H54" s="2" t="s">
        <v>499</v>
      </c>
      <c r="I54" s="4" t="s">
        <v>500</v>
      </c>
      <c r="J54" s="5">
        <v>9513</v>
      </c>
      <c r="K54" s="6">
        <v>0.19</v>
      </c>
      <c r="L54" s="7">
        <f t="shared" si="2"/>
        <v>1807.47</v>
      </c>
      <c r="M54" s="8">
        <f t="shared" si="3"/>
        <v>11320.47</v>
      </c>
      <c r="N54" s="3" t="s">
        <v>34</v>
      </c>
      <c r="O54" s="2" t="s">
        <v>501</v>
      </c>
    </row>
    <row r="55" spans="1:15" x14ac:dyDescent="0.25">
      <c r="A55" s="2" t="s">
        <v>15</v>
      </c>
      <c r="B55" s="2" t="s">
        <v>502</v>
      </c>
      <c r="C55" s="3" t="s">
        <v>503</v>
      </c>
      <c r="D55" s="2" t="s">
        <v>100</v>
      </c>
      <c r="E55" s="2" t="s">
        <v>504</v>
      </c>
      <c r="F55" s="2" t="s">
        <v>102</v>
      </c>
      <c r="G55" s="2" t="s">
        <v>505</v>
      </c>
      <c r="H55" s="2" t="s">
        <v>506</v>
      </c>
      <c r="I55" s="4" t="s">
        <v>507</v>
      </c>
      <c r="J55" s="5">
        <v>3400</v>
      </c>
      <c r="K55" s="6">
        <v>0.19</v>
      </c>
      <c r="L55" s="7">
        <f t="shared" si="2"/>
        <v>646</v>
      </c>
      <c r="M55" s="8">
        <f t="shared" si="3"/>
        <v>4046</v>
      </c>
      <c r="N55" s="3" t="s">
        <v>443</v>
      </c>
      <c r="O55" s="2" t="s">
        <v>508</v>
      </c>
    </row>
    <row r="56" spans="1:15" x14ac:dyDescent="0.25">
      <c r="A56" s="2" t="s">
        <v>15</v>
      </c>
      <c r="B56" s="2" t="s">
        <v>509</v>
      </c>
      <c r="C56" s="3" t="s">
        <v>174</v>
      </c>
      <c r="D56" s="2" t="s">
        <v>510</v>
      </c>
      <c r="E56" s="2" t="s">
        <v>511</v>
      </c>
      <c r="F56" s="2" t="s">
        <v>73</v>
      </c>
      <c r="G56" s="2" t="s">
        <v>512</v>
      </c>
      <c r="H56" s="2" t="s">
        <v>513</v>
      </c>
      <c r="I56" s="4" t="s">
        <v>514</v>
      </c>
      <c r="J56" s="5">
        <v>10610</v>
      </c>
      <c r="K56" s="6">
        <v>0.19</v>
      </c>
      <c r="L56" s="7">
        <f t="shared" si="2"/>
        <v>2015.9</v>
      </c>
      <c r="M56" s="8">
        <f t="shared" si="3"/>
        <v>12625.9</v>
      </c>
      <c r="N56" s="3" t="s">
        <v>515</v>
      </c>
      <c r="O56" s="2" t="s">
        <v>516</v>
      </c>
    </row>
    <row r="57" spans="1:15" x14ac:dyDescent="0.25">
      <c r="A57" s="2" t="s">
        <v>88</v>
      </c>
      <c r="B57" s="2" t="s">
        <v>517</v>
      </c>
      <c r="C57" s="3" t="s">
        <v>518</v>
      </c>
      <c r="D57" s="2" t="s">
        <v>519</v>
      </c>
      <c r="E57" s="2" t="s">
        <v>520</v>
      </c>
      <c r="F57" s="2" t="s">
        <v>102</v>
      </c>
      <c r="G57" s="2" t="s">
        <v>521</v>
      </c>
      <c r="H57" s="2" t="s">
        <v>522</v>
      </c>
      <c r="I57" s="4" t="s">
        <v>523</v>
      </c>
      <c r="J57" s="5">
        <v>16152</v>
      </c>
      <c r="K57" s="6">
        <v>0.19</v>
      </c>
      <c r="L57" s="7">
        <f t="shared" si="2"/>
        <v>3068.88</v>
      </c>
      <c r="M57" s="8">
        <f t="shared" si="3"/>
        <v>19220.88</v>
      </c>
      <c r="N57" s="3" t="s">
        <v>524</v>
      </c>
      <c r="O57" s="2" t="s">
        <v>525</v>
      </c>
    </row>
    <row r="58" spans="1:15" x14ac:dyDescent="0.25">
      <c r="A58" s="2" t="s">
        <v>57</v>
      </c>
      <c r="B58" s="2" t="s">
        <v>526</v>
      </c>
      <c r="C58" s="3" t="s">
        <v>449</v>
      </c>
      <c r="D58" s="2" t="s">
        <v>527</v>
      </c>
      <c r="E58" s="2" t="s">
        <v>528</v>
      </c>
      <c r="F58" s="2" t="s">
        <v>51</v>
      </c>
      <c r="G58" s="2" t="s">
        <v>529</v>
      </c>
      <c r="H58" s="2" t="s">
        <v>530</v>
      </c>
      <c r="I58" s="4" t="s">
        <v>531</v>
      </c>
      <c r="J58" s="5">
        <v>11835.2</v>
      </c>
      <c r="K58" s="6">
        <v>0.19</v>
      </c>
      <c r="L58" s="7">
        <f t="shared" si="2"/>
        <v>2248.69</v>
      </c>
      <c r="M58" s="8">
        <f t="shared" si="3"/>
        <v>14083.89</v>
      </c>
      <c r="N58" s="3" t="s">
        <v>312</v>
      </c>
      <c r="O58" s="2" t="s">
        <v>532</v>
      </c>
    </row>
    <row r="59" spans="1:15" x14ac:dyDescent="0.25">
      <c r="A59" s="2" t="s">
        <v>36</v>
      </c>
      <c r="B59" s="2" t="s">
        <v>533</v>
      </c>
      <c r="C59" s="3" t="s">
        <v>534</v>
      </c>
      <c r="D59" s="2" t="s">
        <v>535</v>
      </c>
      <c r="E59" s="2" t="s">
        <v>536</v>
      </c>
      <c r="F59" s="2" t="s">
        <v>102</v>
      </c>
      <c r="G59" s="2" t="s">
        <v>537</v>
      </c>
      <c r="H59" s="2" t="s">
        <v>538</v>
      </c>
      <c r="I59" s="4" t="s">
        <v>539</v>
      </c>
      <c r="J59" s="5">
        <v>51960</v>
      </c>
      <c r="K59" s="6">
        <v>0.19</v>
      </c>
      <c r="L59" s="7">
        <f t="shared" si="2"/>
        <v>9872.4</v>
      </c>
      <c r="M59" s="8">
        <f t="shared" si="3"/>
        <v>61832.4</v>
      </c>
      <c r="N59" s="3" t="s">
        <v>540</v>
      </c>
      <c r="O59" s="2" t="s">
        <v>541</v>
      </c>
    </row>
    <row r="60" spans="1:15" x14ac:dyDescent="0.25">
      <c r="A60" s="2" t="s">
        <v>88</v>
      </c>
      <c r="B60" s="2" t="s">
        <v>542</v>
      </c>
      <c r="C60" s="3" t="s">
        <v>543</v>
      </c>
      <c r="D60" s="2" t="s">
        <v>544</v>
      </c>
      <c r="E60" s="2" t="s">
        <v>545</v>
      </c>
      <c r="F60" s="2" t="s">
        <v>51</v>
      </c>
      <c r="G60" s="2" t="s">
        <v>546</v>
      </c>
      <c r="H60" s="2" t="s">
        <v>547</v>
      </c>
      <c r="I60" s="4" t="s">
        <v>548</v>
      </c>
      <c r="J60" s="5">
        <v>9658</v>
      </c>
      <c r="K60" s="6">
        <v>0.19</v>
      </c>
      <c r="L60" s="7">
        <f t="shared" si="2"/>
        <v>1835.02</v>
      </c>
      <c r="M60" s="8">
        <f t="shared" si="3"/>
        <v>11493.02</v>
      </c>
      <c r="N60" s="3" t="s">
        <v>399</v>
      </c>
      <c r="O60" s="2" t="s">
        <v>549</v>
      </c>
    </row>
    <row r="61" spans="1:15" x14ac:dyDescent="0.25">
      <c r="A61" s="2" t="s">
        <v>47</v>
      </c>
      <c r="B61" s="2" t="s">
        <v>550</v>
      </c>
      <c r="C61" s="3" t="s">
        <v>90</v>
      </c>
      <c r="D61" s="2" t="s">
        <v>91</v>
      </c>
      <c r="E61" s="2" t="s">
        <v>551</v>
      </c>
      <c r="F61" s="2" t="s">
        <v>20</v>
      </c>
      <c r="G61" s="2" t="s">
        <v>552</v>
      </c>
      <c r="H61" s="2" t="s">
        <v>553</v>
      </c>
      <c r="I61" s="4" t="s">
        <v>554</v>
      </c>
      <c r="J61" s="5">
        <v>9858</v>
      </c>
      <c r="K61" s="6">
        <v>0.19</v>
      </c>
      <c r="L61" s="7">
        <f t="shared" si="2"/>
        <v>1873.02</v>
      </c>
      <c r="M61" s="8">
        <f t="shared" si="3"/>
        <v>11731.02</v>
      </c>
      <c r="N61" s="3" t="s">
        <v>555</v>
      </c>
      <c r="O61" s="2" t="s">
        <v>556</v>
      </c>
    </row>
    <row r="62" spans="1:15" x14ac:dyDescent="0.25">
      <c r="A62" s="2" t="s">
        <v>88</v>
      </c>
      <c r="B62" s="2" t="s">
        <v>557</v>
      </c>
      <c r="C62" s="3" t="s">
        <v>350</v>
      </c>
      <c r="D62" s="2" t="s">
        <v>558</v>
      </c>
      <c r="E62" s="2" t="s">
        <v>559</v>
      </c>
      <c r="F62" s="2" t="s">
        <v>20</v>
      </c>
      <c r="G62" s="2" t="s">
        <v>560</v>
      </c>
      <c r="H62" s="2" t="s">
        <v>561</v>
      </c>
      <c r="I62" s="4" t="s">
        <v>562</v>
      </c>
      <c r="J62" s="5">
        <v>30488</v>
      </c>
      <c r="K62" s="6">
        <v>0.19</v>
      </c>
      <c r="L62" s="7">
        <f t="shared" si="2"/>
        <v>5792.72</v>
      </c>
      <c r="M62" s="8">
        <f t="shared" si="3"/>
        <v>36280.720000000001</v>
      </c>
      <c r="N62" s="3" t="s">
        <v>563</v>
      </c>
      <c r="O62" s="2" t="s">
        <v>564</v>
      </c>
    </row>
    <row r="63" spans="1:15" x14ac:dyDescent="0.25">
      <c r="A63" s="2" t="s">
        <v>47</v>
      </c>
      <c r="B63" s="2" t="s">
        <v>565</v>
      </c>
      <c r="C63" s="3" t="s">
        <v>371</v>
      </c>
      <c r="D63" s="2" t="s">
        <v>566</v>
      </c>
      <c r="E63" s="2" t="s">
        <v>567</v>
      </c>
      <c r="F63" s="2" t="s">
        <v>20</v>
      </c>
      <c r="G63" s="2" t="s">
        <v>568</v>
      </c>
      <c r="H63" s="2" t="s">
        <v>569</v>
      </c>
      <c r="I63" s="4" t="s">
        <v>570</v>
      </c>
      <c r="J63" s="5">
        <v>11744</v>
      </c>
      <c r="K63" s="6">
        <v>0.19</v>
      </c>
      <c r="L63" s="7">
        <f t="shared" si="2"/>
        <v>2231.36</v>
      </c>
      <c r="M63" s="8">
        <f t="shared" si="3"/>
        <v>13975.36</v>
      </c>
      <c r="N63" s="3" t="s">
        <v>571</v>
      </c>
      <c r="O63" s="2" t="s">
        <v>572</v>
      </c>
    </row>
    <row r="64" spans="1:15" x14ac:dyDescent="0.25">
      <c r="A64" s="2" t="s">
        <v>47</v>
      </c>
      <c r="B64" s="2" t="s">
        <v>573</v>
      </c>
      <c r="C64" s="3" t="s">
        <v>17</v>
      </c>
      <c r="D64" s="2" t="s">
        <v>574</v>
      </c>
      <c r="E64" s="2" t="s">
        <v>392</v>
      </c>
      <c r="F64" s="2" t="s">
        <v>20</v>
      </c>
      <c r="G64" s="2" t="s">
        <v>575</v>
      </c>
      <c r="H64" s="2" t="s">
        <v>576</v>
      </c>
      <c r="I64" s="4" t="s">
        <v>577</v>
      </c>
      <c r="J64" s="5">
        <v>32160</v>
      </c>
      <c r="K64" s="6">
        <v>0.19</v>
      </c>
      <c r="L64" s="7">
        <f t="shared" si="2"/>
        <v>6110.4</v>
      </c>
      <c r="M64" s="8">
        <f t="shared" si="3"/>
        <v>38270.400000000001</v>
      </c>
      <c r="N64" s="3" t="s">
        <v>571</v>
      </c>
      <c r="O64" s="2" t="s">
        <v>578</v>
      </c>
    </row>
    <row r="65" spans="1:15" x14ac:dyDescent="0.25">
      <c r="A65" s="2" t="s">
        <v>88</v>
      </c>
      <c r="B65" s="2" t="s">
        <v>579</v>
      </c>
      <c r="C65" s="3" t="s">
        <v>580</v>
      </c>
      <c r="D65" s="2" t="s">
        <v>18</v>
      </c>
      <c r="E65" s="2" t="s">
        <v>581</v>
      </c>
      <c r="F65" s="2" t="s">
        <v>102</v>
      </c>
      <c r="G65" s="2" t="s">
        <v>582</v>
      </c>
      <c r="H65" s="2" t="s">
        <v>583</v>
      </c>
      <c r="I65" s="4" t="s">
        <v>584</v>
      </c>
      <c r="J65" s="5">
        <v>15592.4</v>
      </c>
      <c r="K65" s="6">
        <v>0.19</v>
      </c>
      <c r="L65" s="7">
        <f t="shared" si="2"/>
        <v>2962.56</v>
      </c>
      <c r="M65" s="8">
        <f t="shared" si="3"/>
        <v>18554.96</v>
      </c>
      <c r="N65" s="3" t="s">
        <v>585</v>
      </c>
      <c r="O65" s="2" t="s">
        <v>586</v>
      </c>
    </row>
    <row r="66" spans="1:15" x14ac:dyDescent="0.25">
      <c r="A66" s="2" t="s">
        <v>47</v>
      </c>
      <c r="B66" s="2" t="s">
        <v>587</v>
      </c>
      <c r="C66" s="3" t="s">
        <v>588</v>
      </c>
      <c r="D66" s="2" t="s">
        <v>589</v>
      </c>
      <c r="E66" s="2" t="s">
        <v>590</v>
      </c>
      <c r="F66" s="2" t="s">
        <v>41</v>
      </c>
      <c r="G66" s="2" t="s">
        <v>591</v>
      </c>
      <c r="H66" s="2" t="s">
        <v>592</v>
      </c>
      <c r="I66" s="4" t="s">
        <v>593</v>
      </c>
      <c r="J66" s="5">
        <v>164104</v>
      </c>
      <c r="K66" s="6">
        <v>0.19</v>
      </c>
      <c r="L66" s="7">
        <f t="shared" ref="L66:L97" si="4">ROUND(J66*K66,2)</f>
        <v>31179.759999999998</v>
      </c>
      <c r="M66" s="8">
        <f t="shared" ref="M66:M97" si="5">ROUND(J66+L66,2)</f>
        <v>195283.76</v>
      </c>
      <c r="N66" s="3" t="s">
        <v>594</v>
      </c>
      <c r="O66" s="2" t="s">
        <v>595</v>
      </c>
    </row>
    <row r="67" spans="1:15" x14ac:dyDescent="0.25">
      <c r="A67" s="2" t="s">
        <v>57</v>
      </c>
      <c r="B67" s="2" t="s">
        <v>596</v>
      </c>
      <c r="C67" s="3" t="s">
        <v>597</v>
      </c>
      <c r="D67" s="2" t="s">
        <v>598</v>
      </c>
      <c r="E67" s="2" t="s">
        <v>599</v>
      </c>
      <c r="F67" s="2" t="s">
        <v>51</v>
      </c>
      <c r="G67" s="2" t="s">
        <v>600</v>
      </c>
      <c r="H67" s="2" t="s">
        <v>601</v>
      </c>
      <c r="I67" s="4" t="s">
        <v>602</v>
      </c>
      <c r="J67" s="5">
        <v>47952</v>
      </c>
      <c r="K67" s="6">
        <v>0.19</v>
      </c>
      <c r="L67" s="7">
        <f t="shared" si="4"/>
        <v>9110.8799999999992</v>
      </c>
      <c r="M67" s="8">
        <f t="shared" si="5"/>
        <v>57062.879999999997</v>
      </c>
      <c r="N67" s="3" t="s">
        <v>603</v>
      </c>
      <c r="O67" s="2" t="s">
        <v>604</v>
      </c>
    </row>
    <row r="68" spans="1:15" x14ac:dyDescent="0.25">
      <c r="A68" s="2" t="s">
        <v>88</v>
      </c>
      <c r="B68" s="2" t="s">
        <v>605</v>
      </c>
      <c r="C68" s="3" t="s">
        <v>606</v>
      </c>
      <c r="D68" s="2" t="s">
        <v>607</v>
      </c>
      <c r="E68" s="2" t="s">
        <v>608</v>
      </c>
      <c r="F68" s="2" t="s">
        <v>20</v>
      </c>
      <c r="G68" s="2" t="s">
        <v>609</v>
      </c>
      <c r="H68" s="2" t="s">
        <v>610</v>
      </c>
      <c r="I68" s="4" t="s">
        <v>611</v>
      </c>
      <c r="J68" s="5">
        <v>20760</v>
      </c>
      <c r="K68" s="6">
        <v>0.19</v>
      </c>
      <c r="L68" s="7">
        <f t="shared" si="4"/>
        <v>3944.4</v>
      </c>
      <c r="M68" s="8">
        <f t="shared" si="5"/>
        <v>24704.400000000001</v>
      </c>
      <c r="N68" s="3" t="s">
        <v>612</v>
      </c>
      <c r="O68" s="2" t="s">
        <v>613</v>
      </c>
    </row>
    <row r="69" spans="1:15" x14ac:dyDescent="0.25">
      <c r="A69" s="2" t="s">
        <v>47</v>
      </c>
      <c r="B69" s="2" t="s">
        <v>614</v>
      </c>
      <c r="C69" s="3" t="s">
        <v>615</v>
      </c>
      <c r="D69" s="2" t="s">
        <v>616</v>
      </c>
      <c r="E69" s="2" t="s">
        <v>617</v>
      </c>
      <c r="F69" s="2" t="s">
        <v>327</v>
      </c>
      <c r="G69" s="2" t="s">
        <v>618</v>
      </c>
      <c r="H69" s="2" t="s">
        <v>619</v>
      </c>
      <c r="I69" s="4" t="s">
        <v>620</v>
      </c>
      <c r="J69" s="5">
        <v>12060</v>
      </c>
      <c r="K69" s="6">
        <v>0.19</v>
      </c>
      <c r="L69" s="7">
        <f t="shared" si="4"/>
        <v>2291.4</v>
      </c>
      <c r="M69" s="8">
        <f t="shared" si="5"/>
        <v>14351.4</v>
      </c>
      <c r="N69" s="3" t="s">
        <v>621</v>
      </c>
      <c r="O69" s="2" t="s">
        <v>622</v>
      </c>
    </row>
    <row r="70" spans="1:15" x14ac:dyDescent="0.25">
      <c r="A70" s="2" t="s">
        <v>57</v>
      </c>
      <c r="B70" s="2" t="s">
        <v>623</v>
      </c>
      <c r="C70" s="3" t="s">
        <v>603</v>
      </c>
      <c r="D70" s="2" t="s">
        <v>624</v>
      </c>
      <c r="E70" s="2" t="s">
        <v>625</v>
      </c>
      <c r="F70" s="2" t="s">
        <v>51</v>
      </c>
      <c r="G70" s="2" t="s">
        <v>626</v>
      </c>
      <c r="H70" s="2" t="s">
        <v>627</v>
      </c>
      <c r="I70" s="4" t="s">
        <v>628</v>
      </c>
      <c r="J70" s="5">
        <v>10716</v>
      </c>
      <c r="K70" s="6">
        <v>0.19</v>
      </c>
      <c r="L70" s="7">
        <f t="shared" si="4"/>
        <v>2036.04</v>
      </c>
      <c r="M70" s="8">
        <f t="shared" si="5"/>
        <v>12752.04</v>
      </c>
      <c r="N70" s="3" t="s">
        <v>621</v>
      </c>
      <c r="O70" s="2" t="s">
        <v>629</v>
      </c>
    </row>
    <row r="71" spans="1:15" x14ac:dyDescent="0.25">
      <c r="A71" s="2" t="s">
        <v>88</v>
      </c>
      <c r="B71" s="2" t="s">
        <v>630</v>
      </c>
      <c r="C71" s="3" t="s">
        <v>631</v>
      </c>
      <c r="D71" s="2" t="s">
        <v>632</v>
      </c>
      <c r="E71" s="2" t="s">
        <v>633</v>
      </c>
      <c r="F71" s="2" t="s">
        <v>299</v>
      </c>
      <c r="G71" s="2" t="s">
        <v>634</v>
      </c>
      <c r="H71" s="2" t="s">
        <v>635</v>
      </c>
      <c r="I71" s="4" t="s">
        <v>636</v>
      </c>
      <c r="J71" s="5">
        <v>6080</v>
      </c>
      <c r="K71" s="6">
        <v>0.19</v>
      </c>
      <c r="L71" s="7">
        <f t="shared" si="4"/>
        <v>1155.2</v>
      </c>
      <c r="M71" s="8">
        <f t="shared" si="5"/>
        <v>7235.2</v>
      </c>
      <c r="N71" s="3" t="s">
        <v>637</v>
      </c>
      <c r="O71" s="2" t="s">
        <v>638</v>
      </c>
    </row>
    <row r="72" spans="1:15" x14ac:dyDescent="0.25">
      <c r="A72" s="2" t="s">
        <v>47</v>
      </c>
      <c r="B72" s="2" t="s">
        <v>639</v>
      </c>
      <c r="C72" s="3" t="s">
        <v>640</v>
      </c>
      <c r="D72" s="2" t="s">
        <v>641</v>
      </c>
      <c r="E72" s="2" t="s">
        <v>642</v>
      </c>
      <c r="F72" s="2" t="s">
        <v>51</v>
      </c>
      <c r="G72" s="2" t="s">
        <v>643</v>
      </c>
      <c r="H72" s="2" t="s">
        <v>644</v>
      </c>
      <c r="I72" s="4" t="s">
        <v>645</v>
      </c>
      <c r="J72" s="5">
        <v>96544</v>
      </c>
      <c r="K72" s="6">
        <v>0.19</v>
      </c>
      <c r="L72" s="7">
        <f t="shared" si="4"/>
        <v>18343.36</v>
      </c>
      <c r="M72" s="8">
        <f t="shared" si="5"/>
        <v>114887.36</v>
      </c>
      <c r="N72" s="3" t="s">
        <v>646</v>
      </c>
      <c r="O72" s="2" t="s">
        <v>647</v>
      </c>
    </row>
    <row r="73" spans="1:15" x14ac:dyDescent="0.25">
      <c r="A73" s="2" t="s">
        <v>57</v>
      </c>
      <c r="B73" s="2" t="s">
        <v>648</v>
      </c>
      <c r="C73" s="3" t="s">
        <v>649</v>
      </c>
      <c r="D73" s="2" t="s">
        <v>650</v>
      </c>
      <c r="E73" s="2" t="s">
        <v>651</v>
      </c>
      <c r="F73" s="2" t="s">
        <v>51</v>
      </c>
      <c r="G73" s="2" t="s">
        <v>652</v>
      </c>
      <c r="H73" s="2" t="s">
        <v>653</v>
      </c>
      <c r="I73" s="4" t="s">
        <v>654</v>
      </c>
      <c r="J73" s="5">
        <v>206280</v>
      </c>
      <c r="K73" s="6">
        <v>0.19</v>
      </c>
      <c r="L73" s="7">
        <f t="shared" si="4"/>
        <v>39193.199999999997</v>
      </c>
      <c r="M73" s="8">
        <f t="shared" si="5"/>
        <v>245473.2</v>
      </c>
      <c r="N73" s="3" t="s">
        <v>655</v>
      </c>
      <c r="O73" s="2" t="s">
        <v>656</v>
      </c>
    </row>
    <row r="74" spans="1:15" x14ac:dyDescent="0.25">
      <c r="A74" s="2" t="s">
        <v>15</v>
      </c>
      <c r="B74" s="2" t="s">
        <v>657</v>
      </c>
      <c r="C74" s="3" t="s">
        <v>637</v>
      </c>
      <c r="D74" s="2" t="s">
        <v>658</v>
      </c>
      <c r="E74" s="2" t="s">
        <v>659</v>
      </c>
      <c r="F74" s="2" t="s">
        <v>51</v>
      </c>
      <c r="G74" s="2" t="s">
        <v>660</v>
      </c>
      <c r="H74" s="2" t="s">
        <v>661</v>
      </c>
      <c r="I74" s="4" t="s">
        <v>662</v>
      </c>
      <c r="J74" s="5">
        <v>87064</v>
      </c>
      <c r="K74" s="6">
        <v>0.19</v>
      </c>
      <c r="L74" s="7">
        <f t="shared" si="4"/>
        <v>16542.16</v>
      </c>
      <c r="M74" s="8">
        <f t="shared" si="5"/>
        <v>103606.16</v>
      </c>
      <c r="N74" s="3" t="s">
        <v>663</v>
      </c>
      <c r="O74" s="2" t="s">
        <v>664</v>
      </c>
    </row>
    <row r="75" spans="1:15" x14ac:dyDescent="0.25">
      <c r="A75" s="2" t="s">
        <v>36</v>
      </c>
      <c r="B75" s="2" t="s">
        <v>665</v>
      </c>
      <c r="C75" s="3" t="s">
        <v>666</v>
      </c>
      <c r="D75" s="2" t="s">
        <v>667</v>
      </c>
      <c r="E75" s="2" t="s">
        <v>668</v>
      </c>
      <c r="F75" s="2" t="s">
        <v>20</v>
      </c>
      <c r="G75" s="2" t="s">
        <v>669</v>
      </c>
      <c r="H75" s="2" t="s">
        <v>670</v>
      </c>
      <c r="I75" s="4" t="s">
        <v>671</v>
      </c>
      <c r="J75" s="5">
        <v>51520</v>
      </c>
      <c r="K75" s="6">
        <v>0.19</v>
      </c>
      <c r="L75" s="7">
        <f t="shared" si="4"/>
        <v>9788.7999999999993</v>
      </c>
      <c r="M75" s="8">
        <f t="shared" si="5"/>
        <v>61308.800000000003</v>
      </c>
      <c r="N75" s="3" t="s">
        <v>672</v>
      </c>
      <c r="O75" s="2" t="s">
        <v>673</v>
      </c>
    </row>
    <row r="76" spans="1:15" x14ac:dyDescent="0.25">
      <c r="A76" s="2" t="s">
        <v>57</v>
      </c>
      <c r="B76" s="2" t="s">
        <v>674</v>
      </c>
      <c r="C76" s="3" t="s">
        <v>675</v>
      </c>
      <c r="D76" s="2" t="s">
        <v>676</v>
      </c>
      <c r="E76" s="2" t="s">
        <v>677</v>
      </c>
      <c r="F76" s="2" t="s">
        <v>20</v>
      </c>
      <c r="G76" s="2" t="s">
        <v>678</v>
      </c>
      <c r="H76" s="2" t="s">
        <v>679</v>
      </c>
      <c r="I76" s="4" t="s">
        <v>680</v>
      </c>
      <c r="J76" s="5">
        <v>52340</v>
      </c>
      <c r="K76" s="6">
        <v>0.19</v>
      </c>
      <c r="L76" s="7">
        <f t="shared" si="4"/>
        <v>9944.6</v>
      </c>
      <c r="M76" s="8">
        <f t="shared" si="5"/>
        <v>62284.6</v>
      </c>
      <c r="N76" s="3" t="s">
        <v>681</v>
      </c>
      <c r="O76" s="2" t="s">
        <v>682</v>
      </c>
    </row>
    <row r="77" spans="1:15" x14ac:dyDescent="0.25">
      <c r="A77" s="2" t="s">
        <v>36</v>
      </c>
      <c r="B77" s="2" t="s">
        <v>683</v>
      </c>
      <c r="C77" s="3" t="s">
        <v>663</v>
      </c>
      <c r="D77" s="2" t="s">
        <v>684</v>
      </c>
      <c r="E77" s="2" t="s">
        <v>685</v>
      </c>
      <c r="F77" s="2" t="s">
        <v>41</v>
      </c>
      <c r="G77" s="2" t="s">
        <v>686</v>
      </c>
      <c r="H77" s="2" t="s">
        <v>687</v>
      </c>
      <c r="I77" s="4" t="s">
        <v>688</v>
      </c>
      <c r="J77" s="5">
        <v>97208</v>
      </c>
      <c r="K77" s="6">
        <v>0.19</v>
      </c>
      <c r="L77" s="7">
        <f t="shared" si="4"/>
        <v>18469.52</v>
      </c>
      <c r="M77" s="8">
        <f t="shared" si="5"/>
        <v>115677.52</v>
      </c>
      <c r="N77" s="3" t="s">
        <v>689</v>
      </c>
      <c r="O77" s="2" t="s">
        <v>690</v>
      </c>
    </row>
    <row r="78" spans="1:15" x14ac:dyDescent="0.25">
      <c r="A78" s="2" t="s">
        <v>36</v>
      </c>
      <c r="B78" s="2" t="s">
        <v>691</v>
      </c>
      <c r="C78" s="3" t="s">
        <v>672</v>
      </c>
      <c r="D78" s="2" t="s">
        <v>692</v>
      </c>
      <c r="E78" s="2" t="s">
        <v>693</v>
      </c>
      <c r="F78" s="2" t="s">
        <v>112</v>
      </c>
      <c r="G78" s="2" t="s">
        <v>694</v>
      </c>
      <c r="H78" s="2" t="s">
        <v>695</v>
      </c>
      <c r="I78" s="4" t="s">
        <v>696</v>
      </c>
      <c r="J78" s="5">
        <v>233800</v>
      </c>
      <c r="K78" s="6">
        <v>0.19</v>
      </c>
      <c r="L78" s="7">
        <f t="shared" si="4"/>
        <v>44422</v>
      </c>
      <c r="M78" s="8">
        <f t="shared" si="5"/>
        <v>278222</v>
      </c>
      <c r="N78" s="3" t="s">
        <v>697</v>
      </c>
      <c r="O78" s="2" t="s">
        <v>698</v>
      </c>
    </row>
    <row r="79" spans="1:15" x14ac:dyDescent="0.25">
      <c r="A79" s="2" t="s">
        <v>36</v>
      </c>
      <c r="B79" s="2" t="s">
        <v>699</v>
      </c>
      <c r="C79" s="3" t="s">
        <v>700</v>
      </c>
      <c r="D79" s="2" t="s">
        <v>701</v>
      </c>
      <c r="E79" s="2" t="s">
        <v>702</v>
      </c>
      <c r="F79" s="2" t="s">
        <v>102</v>
      </c>
      <c r="G79" s="2" t="s">
        <v>703</v>
      </c>
      <c r="H79" s="2" t="s">
        <v>704</v>
      </c>
      <c r="I79" s="4" t="s">
        <v>705</v>
      </c>
      <c r="J79" s="5">
        <v>39704</v>
      </c>
      <c r="K79" s="6">
        <v>0.19</v>
      </c>
      <c r="L79" s="7">
        <f t="shared" si="4"/>
        <v>7543.76</v>
      </c>
      <c r="M79" s="8">
        <f t="shared" si="5"/>
        <v>47247.76</v>
      </c>
      <c r="N79" s="3" t="s">
        <v>706</v>
      </c>
      <c r="O79" s="2" t="s">
        <v>707</v>
      </c>
    </row>
    <row r="80" spans="1:15" x14ac:dyDescent="0.25">
      <c r="A80" s="2" t="s">
        <v>36</v>
      </c>
      <c r="B80" s="2" t="s">
        <v>708</v>
      </c>
      <c r="C80" s="3" t="s">
        <v>424</v>
      </c>
      <c r="D80" s="2" t="s">
        <v>709</v>
      </c>
      <c r="E80" s="2" t="s">
        <v>710</v>
      </c>
      <c r="F80" s="2" t="s">
        <v>112</v>
      </c>
      <c r="G80" s="2" t="s">
        <v>711</v>
      </c>
      <c r="H80" s="2" t="s">
        <v>712</v>
      </c>
      <c r="I80" s="4" t="s">
        <v>713</v>
      </c>
      <c r="J80" s="5">
        <v>83640</v>
      </c>
      <c r="K80" s="6">
        <v>0.19</v>
      </c>
      <c r="L80" s="7">
        <f t="shared" si="4"/>
        <v>15891.6</v>
      </c>
      <c r="M80" s="8">
        <f t="shared" si="5"/>
        <v>99531.6</v>
      </c>
      <c r="N80" s="3" t="s">
        <v>431</v>
      </c>
      <c r="O80" s="2" t="s">
        <v>714</v>
      </c>
    </row>
    <row r="81" spans="1:15" x14ac:dyDescent="0.25">
      <c r="A81" s="2" t="s">
        <v>36</v>
      </c>
      <c r="B81" s="2" t="s">
        <v>715</v>
      </c>
      <c r="C81" s="3" t="s">
        <v>716</v>
      </c>
      <c r="D81" s="2" t="s">
        <v>717</v>
      </c>
      <c r="E81" s="2" t="s">
        <v>718</v>
      </c>
      <c r="F81" s="2" t="s">
        <v>41</v>
      </c>
      <c r="G81" s="2" t="s">
        <v>719</v>
      </c>
      <c r="H81" s="2" t="s">
        <v>720</v>
      </c>
      <c r="I81" s="4" t="s">
        <v>721</v>
      </c>
      <c r="J81" s="5">
        <v>31960</v>
      </c>
      <c r="K81" s="6">
        <v>0.19</v>
      </c>
      <c r="L81" s="7">
        <f t="shared" si="4"/>
        <v>6072.4</v>
      </c>
      <c r="M81" s="8">
        <f t="shared" si="5"/>
        <v>38032.400000000001</v>
      </c>
      <c r="N81" s="3" t="s">
        <v>722</v>
      </c>
      <c r="O81" s="2" t="s">
        <v>723</v>
      </c>
    </row>
    <row r="82" spans="1:15" x14ac:dyDescent="0.25">
      <c r="A82" s="2" t="s">
        <v>15</v>
      </c>
      <c r="B82" s="2" t="s">
        <v>724</v>
      </c>
      <c r="C82" s="3" t="s">
        <v>725</v>
      </c>
      <c r="D82" s="2" t="s">
        <v>382</v>
      </c>
      <c r="E82" s="2" t="s">
        <v>726</v>
      </c>
      <c r="F82" s="2" t="s">
        <v>102</v>
      </c>
      <c r="G82" s="2" t="s">
        <v>727</v>
      </c>
      <c r="H82" s="2" t="s">
        <v>728</v>
      </c>
      <c r="I82" s="4" t="s">
        <v>729</v>
      </c>
      <c r="J82" s="5">
        <v>15908.8</v>
      </c>
      <c r="K82" s="6">
        <v>0.19</v>
      </c>
      <c r="L82" s="7">
        <f t="shared" si="4"/>
        <v>3022.67</v>
      </c>
      <c r="M82" s="8">
        <f t="shared" si="5"/>
        <v>18931.47</v>
      </c>
      <c r="N82" s="3" t="s">
        <v>487</v>
      </c>
      <c r="O82" s="2" t="s">
        <v>730</v>
      </c>
    </row>
    <row r="83" spans="1:15" x14ac:dyDescent="0.25">
      <c r="A83" s="2" t="s">
        <v>36</v>
      </c>
      <c r="B83" s="2" t="s">
        <v>731</v>
      </c>
      <c r="C83" s="3" t="s">
        <v>732</v>
      </c>
      <c r="D83" s="2" t="s">
        <v>733</v>
      </c>
      <c r="E83" s="2" t="s">
        <v>734</v>
      </c>
      <c r="F83" s="2" t="s">
        <v>20</v>
      </c>
      <c r="G83" s="2" t="s">
        <v>735</v>
      </c>
      <c r="H83" s="2" t="s">
        <v>736</v>
      </c>
      <c r="I83" s="4" t="s">
        <v>737</v>
      </c>
      <c r="J83" s="5">
        <v>185600</v>
      </c>
      <c r="K83" s="6">
        <v>0.19</v>
      </c>
      <c r="L83" s="7">
        <f t="shared" si="4"/>
        <v>35264</v>
      </c>
      <c r="M83" s="8">
        <f t="shared" si="5"/>
        <v>220864</v>
      </c>
      <c r="N83" s="3" t="s">
        <v>493</v>
      </c>
      <c r="O83" s="2" t="s">
        <v>738</v>
      </c>
    </row>
    <row r="84" spans="1:15" x14ac:dyDescent="0.25">
      <c r="A84" s="2" t="s">
        <v>68</v>
      </c>
      <c r="B84" s="2" t="s">
        <v>739</v>
      </c>
      <c r="C84" s="3" t="s">
        <v>487</v>
      </c>
      <c r="D84" s="2" t="s">
        <v>740</v>
      </c>
      <c r="E84" s="2" t="s">
        <v>741</v>
      </c>
      <c r="F84" s="2" t="s">
        <v>41</v>
      </c>
      <c r="G84" s="2" t="s">
        <v>742</v>
      </c>
      <c r="H84" s="2" t="s">
        <v>743</v>
      </c>
      <c r="I84" s="4" t="s">
        <v>744</v>
      </c>
      <c r="J84" s="5">
        <v>61700</v>
      </c>
      <c r="K84" s="6">
        <v>0.19</v>
      </c>
      <c r="L84" s="7">
        <f t="shared" si="4"/>
        <v>11723</v>
      </c>
      <c r="M84" s="8">
        <f t="shared" si="5"/>
        <v>73423</v>
      </c>
      <c r="N84" s="3" t="s">
        <v>745</v>
      </c>
      <c r="O84" s="2" t="s">
        <v>746</v>
      </c>
    </row>
    <row r="85" spans="1:15" x14ac:dyDescent="0.25">
      <c r="A85" s="2" t="s">
        <v>15</v>
      </c>
      <c r="B85" s="2" t="s">
        <v>747</v>
      </c>
      <c r="C85" s="3" t="s">
        <v>748</v>
      </c>
      <c r="D85" s="2" t="s">
        <v>749</v>
      </c>
      <c r="E85" s="2" t="s">
        <v>750</v>
      </c>
      <c r="F85" s="2" t="s">
        <v>41</v>
      </c>
      <c r="G85" s="2" t="s">
        <v>751</v>
      </c>
      <c r="H85" s="2" t="s">
        <v>752</v>
      </c>
      <c r="I85" s="4" t="s">
        <v>753</v>
      </c>
      <c r="J85" s="5">
        <v>169920</v>
      </c>
      <c r="K85" s="6">
        <v>0.19</v>
      </c>
      <c r="L85" s="7">
        <f t="shared" si="4"/>
        <v>32284.799999999999</v>
      </c>
      <c r="M85" s="8">
        <f t="shared" si="5"/>
        <v>202204.79999999999</v>
      </c>
      <c r="N85" s="3" t="s">
        <v>334</v>
      </c>
      <c r="O85" s="2" t="s">
        <v>754</v>
      </c>
    </row>
    <row r="86" spans="1:15" x14ac:dyDescent="0.25">
      <c r="A86" s="2" t="s">
        <v>15</v>
      </c>
      <c r="B86" s="2" t="s">
        <v>755</v>
      </c>
      <c r="C86" s="3" t="s">
        <v>493</v>
      </c>
      <c r="D86" s="2" t="s">
        <v>756</v>
      </c>
      <c r="E86" s="2" t="s">
        <v>757</v>
      </c>
      <c r="F86" s="2" t="s">
        <v>122</v>
      </c>
      <c r="G86" s="2" t="s">
        <v>758</v>
      </c>
      <c r="H86" s="2" t="s">
        <v>759</v>
      </c>
      <c r="I86" s="4" t="s">
        <v>760</v>
      </c>
      <c r="J86" s="5">
        <v>15019.2</v>
      </c>
      <c r="K86" s="6">
        <v>0.19</v>
      </c>
      <c r="L86" s="7">
        <f t="shared" si="4"/>
        <v>2853.65</v>
      </c>
      <c r="M86" s="8">
        <f t="shared" si="5"/>
        <v>17872.849999999999</v>
      </c>
      <c r="N86" s="3" t="s">
        <v>761</v>
      </c>
      <c r="O86" s="2" t="s">
        <v>762</v>
      </c>
    </row>
    <row r="87" spans="1:15" x14ac:dyDescent="0.25">
      <c r="A87" s="2" t="s">
        <v>88</v>
      </c>
      <c r="B87" s="2" t="s">
        <v>763</v>
      </c>
      <c r="C87" s="3" t="s">
        <v>764</v>
      </c>
      <c r="D87" s="2" t="s">
        <v>765</v>
      </c>
      <c r="E87" s="2" t="s">
        <v>766</v>
      </c>
      <c r="F87" s="2" t="s">
        <v>51</v>
      </c>
      <c r="G87" s="2" t="s">
        <v>767</v>
      </c>
      <c r="H87" s="2" t="s">
        <v>768</v>
      </c>
      <c r="I87" s="4" t="s">
        <v>769</v>
      </c>
      <c r="J87" s="5">
        <v>62040</v>
      </c>
      <c r="K87" s="6">
        <v>0.19</v>
      </c>
      <c r="L87" s="7">
        <f t="shared" si="4"/>
        <v>11787.6</v>
      </c>
      <c r="M87" s="8">
        <f t="shared" si="5"/>
        <v>73827.600000000006</v>
      </c>
      <c r="N87" s="3" t="s">
        <v>157</v>
      </c>
      <c r="O87" s="2" t="s">
        <v>770</v>
      </c>
    </row>
    <row r="88" spans="1:15" x14ac:dyDescent="0.25">
      <c r="A88" s="2" t="s">
        <v>68</v>
      </c>
      <c r="B88" s="2" t="s">
        <v>771</v>
      </c>
      <c r="C88" s="3" t="s">
        <v>772</v>
      </c>
      <c r="D88" s="2" t="s">
        <v>773</v>
      </c>
      <c r="E88" s="2" t="s">
        <v>774</v>
      </c>
      <c r="F88" s="2" t="s">
        <v>51</v>
      </c>
      <c r="G88" s="2" t="s">
        <v>775</v>
      </c>
      <c r="H88" s="2" t="s">
        <v>776</v>
      </c>
      <c r="I88" s="4" t="s">
        <v>777</v>
      </c>
      <c r="J88" s="5">
        <v>46192</v>
      </c>
      <c r="K88" s="6">
        <v>0.19</v>
      </c>
      <c r="L88" s="7">
        <f t="shared" si="4"/>
        <v>8776.48</v>
      </c>
      <c r="M88" s="8">
        <f t="shared" si="5"/>
        <v>54968.480000000003</v>
      </c>
      <c r="N88" s="3" t="s">
        <v>778</v>
      </c>
      <c r="O88" s="2" t="s">
        <v>779</v>
      </c>
    </row>
    <row r="89" spans="1:15" x14ac:dyDescent="0.25">
      <c r="A89" s="2" t="s">
        <v>47</v>
      </c>
      <c r="B89" s="2" t="s">
        <v>780</v>
      </c>
      <c r="C89" s="3" t="s">
        <v>781</v>
      </c>
      <c r="D89" s="2" t="s">
        <v>782</v>
      </c>
      <c r="E89" s="2" t="s">
        <v>783</v>
      </c>
      <c r="F89" s="2" t="s">
        <v>51</v>
      </c>
      <c r="G89" s="2" t="s">
        <v>784</v>
      </c>
      <c r="H89" s="2" t="s">
        <v>785</v>
      </c>
      <c r="I89" s="4" t="s">
        <v>786</v>
      </c>
      <c r="J89" s="5">
        <v>46224</v>
      </c>
      <c r="K89" s="6">
        <v>0.19</v>
      </c>
      <c r="L89" s="7">
        <f t="shared" si="4"/>
        <v>8782.56</v>
      </c>
      <c r="M89" s="8">
        <f t="shared" si="5"/>
        <v>55006.559999999998</v>
      </c>
      <c r="N89" s="3" t="s">
        <v>787</v>
      </c>
      <c r="O89" s="2" t="s">
        <v>788</v>
      </c>
    </row>
    <row r="90" spans="1:15" x14ac:dyDescent="0.25">
      <c r="A90" s="2" t="s">
        <v>47</v>
      </c>
      <c r="B90" s="2" t="s">
        <v>789</v>
      </c>
      <c r="C90" s="3" t="s">
        <v>157</v>
      </c>
      <c r="D90" s="2" t="s">
        <v>790</v>
      </c>
      <c r="E90" s="2" t="s">
        <v>791</v>
      </c>
      <c r="F90" s="2" t="s">
        <v>327</v>
      </c>
      <c r="G90" s="2" t="s">
        <v>792</v>
      </c>
      <c r="H90" s="2" t="s">
        <v>793</v>
      </c>
      <c r="I90" s="4" t="s">
        <v>794</v>
      </c>
      <c r="J90" s="5">
        <v>25960</v>
      </c>
      <c r="K90" s="6">
        <v>0.19</v>
      </c>
      <c r="L90" s="7">
        <f t="shared" si="4"/>
        <v>4932.3999999999996</v>
      </c>
      <c r="M90" s="8">
        <f t="shared" si="5"/>
        <v>30892.400000000001</v>
      </c>
      <c r="N90" s="3" t="s">
        <v>795</v>
      </c>
      <c r="O90" s="2" t="s">
        <v>796</v>
      </c>
    </row>
    <row r="91" spans="1:15" x14ac:dyDescent="0.25">
      <c r="A91" s="2" t="s">
        <v>172</v>
      </c>
      <c r="B91" s="2" t="s">
        <v>797</v>
      </c>
      <c r="C91" s="3" t="s">
        <v>778</v>
      </c>
      <c r="D91" s="2" t="s">
        <v>798</v>
      </c>
      <c r="E91" s="2" t="s">
        <v>799</v>
      </c>
      <c r="F91" s="2" t="s">
        <v>102</v>
      </c>
      <c r="G91" s="2" t="s">
        <v>800</v>
      </c>
      <c r="H91" s="2" t="s">
        <v>801</v>
      </c>
      <c r="I91" s="4" t="s">
        <v>802</v>
      </c>
      <c r="J91" s="5">
        <v>39872</v>
      </c>
      <c r="K91" s="6">
        <v>0.19</v>
      </c>
      <c r="L91" s="7">
        <f t="shared" si="4"/>
        <v>7575.68</v>
      </c>
      <c r="M91" s="8">
        <f t="shared" si="5"/>
        <v>47447.68</v>
      </c>
      <c r="N91" s="3" t="s">
        <v>460</v>
      </c>
      <c r="O91" s="2" t="s">
        <v>803</v>
      </c>
    </row>
    <row r="92" spans="1:15" x14ac:dyDescent="0.25">
      <c r="A92" s="2" t="s">
        <v>15</v>
      </c>
      <c r="B92" s="2" t="s">
        <v>804</v>
      </c>
      <c r="C92" s="3" t="s">
        <v>787</v>
      </c>
      <c r="D92" s="2" t="s">
        <v>805</v>
      </c>
      <c r="E92" s="2" t="s">
        <v>806</v>
      </c>
      <c r="F92" s="2" t="s">
        <v>327</v>
      </c>
      <c r="G92" s="2" t="s">
        <v>807</v>
      </c>
      <c r="H92" s="2" t="s">
        <v>808</v>
      </c>
      <c r="I92" s="4" t="s">
        <v>809</v>
      </c>
      <c r="J92" s="5">
        <v>10388</v>
      </c>
      <c r="K92" s="6">
        <v>0.19</v>
      </c>
      <c r="L92" s="7">
        <f t="shared" si="4"/>
        <v>1973.72</v>
      </c>
      <c r="M92" s="8">
        <f t="shared" si="5"/>
        <v>12361.72</v>
      </c>
      <c r="N92" s="3" t="s">
        <v>460</v>
      </c>
      <c r="O92" s="2" t="s">
        <v>810</v>
      </c>
    </row>
    <row r="93" spans="1:15" x14ac:dyDescent="0.25">
      <c r="A93" s="2" t="s">
        <v>57</v>
      </c>
      <c r="B93" s="2" t="s">
        <v>811</v>
      </c>
      <c r="C93" s="3" t="s">
        <v>795</v>
      </c>
      <c r="D93" s="2" t="s">
        <v>100</v>
      </c>
      <c r="E93" s="2" t="s">
        <v>812</v>
      </c>
      <c r="F93" s="2" t="s">
        <v>102</v>
      </c>
      <c r="G93" s="2" t="s">
        <v>813</v>
      </c>
      <c r="H93" s="2" t="s">
        <v>814</v>
      </c>
      <c r="I93" s="4" t="s">
        <v>815</v>
      </c>
      <c r="J93" s="5">
        <v>5880</v>
      </c>
      <c r="K93" s="6">
        <v>0.19</v>
      </c>
      <c r="L93" s="7">
        <f t="shared" si="4"/>
        <v>1117.2</v>
      </c>
      <c r="M93" s="8">
        <f t="shared" si="5"/>
        <v>6997.2</v>
      </c>
      <c r="N93" s="3" t="s">
        <v>193</v>
      </c>
      <c r="O93" s="2" t="s">
        <v>816</v>
      </c>
    </row>
    <row r="94" spans="1:15" x14ac:dyDescent="0.25">
      <c r="A94" s="2" t="s">
        <v>15</v>
      </c>
      <c r="B94" s="2" t="s">
        <v>817</v>
      </c>
      <c r="C94" s="3" t="s">
        <v>460</v>
      </c>
      <c r="D94" s="2" t="s">
        <v>818</v>
      </c>
      <c r="E94" s="2" t="s">
        <v>819</v>
      </c>
      <c r="F94" s="2" t="s">
        <v>150</v>
      </c>
      <c r="G94" s="2" t="s">
        <v>820</v>
      </c>
      <c r="H94" s="2" t="s">
        <v>821</v>
      </c>
      <c r="I94" s="4" t="s">
        <v>822</v>
      </c>
      <c r="J94" s="5">
        <v>17544</v>
      </c>
      <c r="K94" s="6">
        <v>0.19</v>
      </c>
      <c r="L94" s="7">
        <f t="shared" si="4"/>
        <v>3333.36</v>
      </c>
      <c r="M94" s="8">
        <f t="shared" si="5"/>
        <v>20877.36</v>
      </c>
      <c r="N94" s="3" t="s">
        <v>823</v>
      </c>
      <c r="O94" s="2" t="s">
        <v>824</v>
      </c>
    </row>
    <row r="95" spans="1:15" x14ac:dyDescent="0.25">
      <c r="A95" s="2" t="s">
        <v>15</v>
      </c>
      <c r="B95" s="2" t="s">
        <v>825</v>
      </c>
      <c r="C95" s="3" t="s">
        <v>193</v>
      </c>
      <c r="D95" s="2" t="s">
        <v>184</v>
      </c>
      <c r="E95" s="2" t="s">
        <v>826</v>
      </c>
      <c r="F95" s="2" t="s">
        <v>827</v>
      </c>
      <c r="G95" s="2" t="s">
        <v>828</v>
      </c>
      <c r="H95" s="2" t="s">
        <v>829</v>
      </c>
      <c r="I95" s="4" t="s">
        <v>830</v>
      </c>
      <c r="J95" s="5">
        <v>37251</v>
      </c>
      <c r="K95" s="6">
        <v>0.19</v>
      </c>
      <c r="L95" s="7">
        <f t="shared" si="4"/>
        <v>7077.69</v>
      </c>
      <c r="M95" s="8">
        <f t="shared" si="5"/>
        <v>44328.69</v>
      </c>
      <c r="N95" s="3" t="s">
        <v>467</v>
      </c>
      <c r="O95" s="2" t="s">
        <v>831</v>
      </c>
    </row>
    <row r="96" spans="1:15" x14ac:dyDescent="0.25">
      <c r="A96" s="2" t="s">
        <v>88</v>
      </c>
      <c r="B96" s="2" t="s">
        <v>832</v>
      </c>
      <c r="C96" s="3" t="s">
        <v>823</v>
      </c>
      <c r="D96" s="2" t="s">
        <v>184</v>
      </c>
      <c r="E96" s="2" t="s">
        <v>833</v>
      </c>
      <c r="F96" s="2" t="s">
        <v>150</v>
      </c>
      <c r="G96" s="2" t="s">
        <v>834</v>
      </c>
      <c r="H96" s="2" t="s">
        <v>835</v>
      </c>
      <c r="I96" s="4" t="s">
        <v>836</v>
      </c>
      <c r="J96" s="5">
        <v>20772</v>
      </c>
      <c r="K96" s="6">
        <v>0.19</v>
      </c>
      <c r="L96" s="7">
        <f t="shared" si="4"/>
        <v>3946.68</v>
      </c>
      <c r="M96" s="8">
        <f t="shared" si="5"/>
        <v>24718.68</v>
      </c>
      <c r="N96" s="3" t="s">
        <v>198</v>
      </c>
      <c r="O96" s="2" t="s">
        <v>837</v>
      </c>
    </row>
    <row r="97" spans="1:15" x14ac:dyDescent="0.25">
      <c r="A97" s="2" t="s">
        <v>57</v>
      </c>
      <c r="B97" s="2" t="s">
        <v>838</v>
      </c>
      <c r="C97" s="3" t="s">
        <v>467</v>
      </c>
      <c r="D97" s="2" t="s">
        <v>839</v>
      </c>
      <c r="E97" s="2" t="s">
        <v>840</v>
      </c>
      <c r="F97" s="2" t="s">
        <v>20</v>
      </c>
      <c r="G97" s="2" t="s">
        <v>841</v>
      </c>
      <c r="H97" s="2" t="s">
        <v>842</v>
      </c>
      <c r="I97" s="4" t="s">
        <v>843</v>
      </c>
      <c r="J97" s="5">
        <v>28048</v>
      </c>
      <c r="K97" s="6">
        <v>0.19</v>
      </c>
      <c r="L97" s="7">
        <f t="shared" si="4"/>
        <v>5329.12</v>
      </c>
      <c r="M97" s="8">
        <f t="shared" si="5"/>
        <v>33377.120000000003</v>
      </c>
      <c r="N97" s="3" t="s">
        <v>207</v>
      </c>
      <c r="O97" s="2" t="s">
        <v>844</v>
      </c>
    </row>
    <row r="98" spans="1:15" x14ac:dyDescent="0.25">
      <c r="A98" s="2" t="s">
        <v>47</v>
      </c>
      <c r="B98" s="2" t="s">
        <v>845</v>
      </c>
      <c r="C98" s="3" t="s">
        <v>198</v>
      </c>
      <c r="D98" s="2" t="s">
        <v>184</v>
      </c>
      <c r="E98" s="2" t="s">
        <v>846</v>
      </c>
      <c r="F98" s="2" t="s">
        <v>102</v>
      </c>
      <c r="G98" s="2" t="s">
        <v>847</v>
      </c>
      <c r="H98" s="2" t="s">
        <v>848</v>
      </c>
      <c r="I98" s="4" t="s">
        <v>849</v>
      </c>
      <c r="J98" s="5">
        <v>30052</v>
      </c>
      <c r="K98" s="6">
        <v>7.0000000000000007E-2</v>
      </c>
      <c r="L98" s="7">
        <f t="shared" ref="L98:L129" si="6">ROUND(J98*K98,2)</f>
        <v>2103.64</v>
      </c>
      <c r="M98" s="8">
        <f t="shared" ref="M98:M129" si="7">ROUND(J98+L98,2)</f>
        <v>32155.64</v>
      </c>
      <c r="N98" s="3" t="s">
        <v>457</v>
      </c>
      <c r="O98" s="2" t="s">
        <v>850</v>
      </c>
    </row>
    <row r="99" spans="1:15" x14ac:dyDescent="0.25">
      <c r="A99" s="2" t="s">
        <v>15</v>
      </c>
      <c r="B99" s="2" t="s">
        <v>851</v>
      </c>
      <c r="C99" s="3" t="s">
        <v>452</v>
      </c>
      <c r="D99" s="2" t="s">
        <v>852</v>
      </c>
      <c r="E99" s="2" t="s">
        <v>853</v>
      </c>
      <c r="F99" s="2" t="s">
        <v>73</v>
      </c>
      <c r="G99" s="2" t="s">
        <v>854</v>
      </c>
      <c r="H99" s="2" t="s">
        <v>855</v>
      </c>
      <c r="I99" s="4" t="s">
        <v>856</v>
      </c>
      <c r="J99" s="5">
        <v>99600</v>
      </c>
      <c r="K99" s="6">
        <v>0.19</v>
      </c>
      <c r="L99" s="7">
        <f t="shared" si="6"/>
        <v>18924</v>
      </c>
      <c r="M99" s="8">
        <f t="shared" si="7"/>
        <v>118524</v>
      </c>
      <c r="N99" s="3" t="s">
        <v>434</v>
      </c>
      <c r="O99" s="2" t="s">
        <v>857</v>
      </c>
    </row>
    <row r="100" spans="1:15" x14ac:dyDescent="0.25">
      <c r="A100" s="2" t="s">
        <v>172</v>
      </c>
      <c r="B100" s="2" t="s">
        <v>858</v>
      </c>
      <c r="C100" s="3" t="s">
        <v>207</v>
      </c>
      <c r="D100" s="2" t="s">
        <v>391</v>
      </c>
      <c r="E100" s="2" t="s">
        <v>859</v>
      </c>
      <c r="F100" s="2" t="s">
        <v>20</v>
      </c>
      <c r="G100" s="2" t="s">
        <v>93</v>
      </c>
      <c r="H100" s="2" t="s">
        <v>860</v>
      </c>
      <c r="I100" s="4" t="s">
        <v>861</v>
      </c>
      <c r="J100" s="5">
        <v>56920</v>
      </c>
      <c r="K100" s="6">
        <v>0.19</v>
      </c>
      <c r="L100" s="7">
        <f t="shared" si="6"/>
        <v>10814.8</v>
      </c>
      <c r="M100" s="8">
        <f t="shared" si="7"/>
        <v>67734.8</v>
      </c>
      <c r="N100" s="3" t="s">
        <v>862</v>
      </c>
      <c r="O100" s="2" t="s">
        <v>863</v>
      </c>
    </row>
    <row r="101" spans="1:15" x14ac:dyDescent="0.25">
      <c r="A101" s="2" t="s">
        <v>88</v>
      </c>
      <c r="B101" s="2" t="s">
        <v>864</v>
      </c>
      <c r="C101" s="3" t="s">
        <v>457</v>
      </c>
      <c r="D101" s="2" t="s">
        <v>325</v>
      </c>
      <c r="E101" s="2" t="s">
        <v>865</v>
      </c>
      <c r="F101" s="2" t="s">
        <v>20</v>
      </c>
      <c r="G101" s="2" t="s">
        <v>866</v>
      </c>
      <c r="H101" s="2" t="s">
        <v>867</v>
      </c>
      <c r="I101" s="4" t="s">
        <v>868</v>
      </c>
      <c r="J101" s="5">
        <v>73266</v>
      </c>
      <c r="K101" s="6">
        <v>0.19</v>
      </c>
      <c r="L101" s="7">
        <f t="shared" si="6"/>
        <v>13920.54</v>
      </c>
      <c r="M101" s="8">
        <f t="shared" si="7"/>
        <v>87186.54</v>
      </c>
      <c r="N101" s="3" t="s">
        <v>90</v>
      </c>
      <c r="O101" s="2" t="s">
        <v>869</v>
      </c>
    </row>
    <row r="102" spans="1:15" x14ac:dyDescent="0.25">
      <c r="I102" s="9" t="s">
        <v>870</v>
      </c>
      <c r="J102" s="10">
        <f>SUM(J2:J101)</f>
        <v>4006480.95</v>
      </c>
      <c r="L102" s="10">
        <f>SUM(L2:L101)</f>
        <v>755696.51000000024</v>
      </c>
      <c r="M102" s="10">
        <f>SUM(M2:M101)</f>
        <v>4762177.46</v>
      </c>
    </row>
    <row r="105" spans="1:15" x14ac:dyDescent="0.25">
      <c r="A105" s="11" t="s">
        <v>871</v>
      </c>
    </row>
    <row r="106" spans="1:15" x14ac:dyDescent="0.25">
      <c r="A106" s="12" t="s">
        <v>872</v>
      </c>
    </row>
    <row r="107" spans="1:15" x14ac:dyDescent="0.25">
      <c r="A107" s="13" t="s">
        <v>873</v>
      </c>
    </row>
    <row r="108" spans="1:15" x14ac:dyDescent="0.25">
      <c r="A108" s="14" t="s">
        <v>874</v>
      </c>
    </row>
  </sheetData>
  <autoFilter ref="A1:O101" xr:uid="{00000000-0009-0000-0000-000000000000}"/>
  <pageMargins left="0.75" right="0.75" top="1" bottom="1" header="0.511811023622047" footer="0.511811023622047"/>
  <pageSetup paperSize="9" orientation="portrait" horizontalDpi="300" verticalDpi="300"/>
  <legacyDrawing r:id="rId1"/>
</worksheet>
</file>

<file path=docMetadata/LabelInfo.xml><?xml version="1.0" encoding="utf-8"?>
<clbl:labelList xmlns:clbl="http://schemas.microsoft.com/office/2020/mipLabelMetadata">
  <clbl:label id="{b0078d80-d8fa-41c0-a03d-2fc8bfbf8ef3}" enabled="1" method="Standard" siteId="{1a5fb97d-e8d3-49e2-b059-92746ee77d8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Rechnungsuebersicht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Verclas, Leonard (F&amp;Co.)</cp:lastModifiedBy>
  <cp:revision>0</cp:revision>
  <dcterms:created xsi:type="dcterms:W3CDTF">2026-09-09T11:34:44Z</dcterms:created>
  <dcterms:modified xsi:type="dcterms:W3CDTF">2026-10-13T08:58:10Z</dcterms:modified>
  <dc:language>en-US</dc:language>
</cp:coreProperties>
</file>